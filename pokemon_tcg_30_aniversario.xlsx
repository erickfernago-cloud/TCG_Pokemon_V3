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80" tabRatio="500" firstSheet="0" activeTab="1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t principal" sheetId="2" state="visible" r:id="rId2"/>
    <sheet xmlns:r="http://schemas.openxmlformats.org/officeDocument/2006/relationships" name="Secretas" sheetId="3" state="visible" r:id="rId3"/>
    <sheet xmlns:r="http://schemas.openxmlformats.org/officeDocument/2006/relationships" name="Classic Collection" sheetId="4" state="visible" r:id="rId4"/>
    <sheet xmlns:r="http://schemas.openxmlformats.org/officeDocument/2006/relationships" name="Energías" sheetId="5" state="visible" r:id="rId5"/>
  </sheets>
  <definedNames>
    <definedName name="_xlnm._FilterDatabase" localSheetId="1" hidden="1">'Set principal'!$A$1:$G$129</definedName>
    <definedName name="_xlnm._FilterDatabase" localSheetId="2" hidden="1">'Secretas'!$A$1:$H$34</definedName>
    <definedName name="_xlnm._FilterDatabase" localSheetId="3" hidden="1">'Classic Collection'!$A$1:$E$31</definedName>
    <definedName name="_xlnm._FilterDatabase" localSheetId="4" hidden="1">'Energías'!$A$1:$B$9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charset val="1"/>
      <family val="2"/>
      <color theme="1"/>
      <sz val="11"/>
    </font>
    <font>
      <name val="Arial"/>
      <family val="2"/>
      <b val="1"/>
      <color rgb="FF1F3A5F"/>
      <sz val="14"/>
    </font>
    <font>
      <name val="Arial"/>
      <family val="2"/>
      <i val="1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color rgb="FF1F3A5F"/>
      <sz val="11"/>
    </font>
    <font>
      <name val="Arial"/>
      <b val="1"/>
      <color rgb="00FFFFFF"/>
      <sz val="11"/>
    </font>
    <font>
      <name val="Arial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001F3A5F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6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zoomScaleNormal="100" workbookViewId="0">
      <selection activeCell="A1" sqref="A1"/>
    </sheetView>
  </sheetViews>
  <sheetFormatPr baseColWidth="10" defaultColWidth="8.7109375" defaultRowHeight="15"/>
  <cols>
    <col width="42" customWidth="1" min="1" max="1"/>
    <col width="14" customWidth="1" min="2" max="5"/>
  </cols>
  <sheetData>
    <row r="1" ht="18" customHeight="1">
      <c r="A1" s="1" t="inlineStr">
        <is>
          <t>Pokémon TCG: 30th Celebration (30.º aniversario) – Lista de cartas (versión en inglés)</t>
        </is>
      </c>
    </row>
    <row r="2">
      <c r="A2" s="2" t="inlineStr">
        <is>
          <t>Lanzamiento mundial: 16 de septiembre de 2026. Todas las cartas son foil.</t>
        </is>
      </c>
    </row>
    <row r="4">
      <c r="A4" s="3" t="inlineStr">
        <is>
          <t>Sección</t>
        </is>
      </c>
      <c r="B4" s="3" t="inlineStr">
        <is>
          <t>Cartas</t>
        </is>
      </c>
      <c r="C4" s="3" t="inlineStr">
        <is>
          <t>Tengo</t>
        </is>
      </c>
      <c r="D4" s="3" t="inlineStr">
        <is>
          <t>Faltan</t>
        </is>
      </c>
      <c r="E4" s="3" t="inlineStr">
        <is>
          <t>% completado</t>
        </is>
      </c>
    </row>
    <row r="5">
      <c r="A5" s="4" t="inlineStr">
        <is>
          <t>Set principal (incl. 30 Pikachu)</t>
        </is>
      </c>
      <c r="B5" s="5">
        <f>COUNTA('Set principal'!A2:A500)</f>
        <v/>
      </c>
      <c r="C5" s="5">
        <f>COUNTIF('Set principal'!F2:F500,"Sí")</f>
        <v/>
      </c>
      <c r="D5" s="5">
        <f>B5-C5</f>
        <v/>
      </c>
      <c r="E5" s="6">
        <f>IF(B5=0,0,C5/B5)</f>
        <v/>
      </c>
    </row>
    <row r="6">
      <c r="A6" s="4" t="inlineStr">
        <is>
          <t>Secretas (129–158 + 3 Mew RGB)</t>
        </is>
      </c>
      <c r="B6" s="5">
        <f>COUNTA(Secretas!A2:A500)</f>
        <v/>
      </c>
      <c r="C6" s="5">
        <f>COUNTIF(Secretas!G2:G500,"Sí")</f>
        <v/>
      </c>
      <c r="D6" s="5">
        <f>B6-C6</f>
        <v/>
      </c>
      <c r="E6" s="6">
        <f>IF(B6=0,0,C6/B6)</f>
        <v/>
      </c>
    </row>
    <row r="7">
      <c r="A7" s="4" t="inlineStr">
        <is>
          <t>Classic Collection</t>
        </is>
      </c>
      <c r="B7" s="5">
        <f>COUNTA('Classic Collection'!A2:A500)</f>
        <v/>
      </c>
      <c r="C7" s="5">
        <f>COUNTIF('Classic Collection'!D2:D500,"Sí")</f>
        <v/>
      </c>
      <c r="D7" s="5">
        <f>B7-C7</f>
        <v/>
      </c>
      <c r="E7" s="6">
        <f>IF(B7=0,0,C7/B7)</f>
        <v/>
      </c>
    </row>
    <row r="8">
      <c r="A8" s="4" t="inlineStr">
        <is>
          <t>Energías básicas</t>
        </is>
      </c>
      <c r="B8" s="5">
        <f>COUNTA(Energías!A2:A500)</f>
        <v/>
      </c>
      <c r="C8" s="5">
        <f>COUNTIF(Energías!B2:B500,"Sí")</f>
        <v/>
      </c>
      <c r="D8" s="5">
        <f>B8-C8</f>
        <v/>
      </c>
      <c r="E8" s="6">
        <f>IF(B8=0,0,C8/B8)</f>
        <v/>
      </c>
    </row>
    <row r="9">
      <c r="A9" s="7" t="inlineStr">
        <is>
          <t>TOTAL</t>
        </is>
      </c>
      <c r="B9" s="8">
        <f>SUM(B5:B8)</f>
        <v/>
      </c>
      <c r="C9" s="8">
        <f>SUM(C5:C8)</f>
        <v/>
      </c>
      <c r="D9" s="8">
        <f>SUM(D5:D8)</f>
        <v/>
      </c>
      <c r="E9" s="9">
        <f>IF(B9=0,0,C9/B9)</f>
        <v/>
      </c>
    </row>
    <row r="11">
      <c r="A11" s="10" t="inlineStr">
        <is>
          <t>Desglose por rareza (set principal + secretas)</t>
        </is>
      </c>
    </row>
    <row r="12">
      <c r="A12" s="11" t="inlineStr">
        <is>
          <t>Rareza</t>
        </is>
      </c>
      <c r="B12" s="11" t="inlineStr">
        <is>
          <t>Cartas</t>
        </is>
      </c>
    </row>
    <row r="13">
      <c r="A13" s="4" t="inlineStr">
        <is>
          <t>Common</t>
        </is>
      </c>
      <c r="B13" s="5">
        <f>COUNTIF('Set principal'!D2:D500,A13)</f>
        <v/>
      </c>
    </row>
    <row r="14">
      <c r="A14" s="4" t="inlineStr">
        <is>
          <t>Rare</t>
        </is>
      </c>
      <c r="B14" s="5">
        <f>COUNTIF('Set principal'!D2:D500,A14)</f>
        <v/>
      </c>
    </row>
    <row r="15">
      <c r="A15" s="4" t="inlineStr">
        <is>
          <t>Double Rare</t>
        </is>
      </c>
      <c r="B15" s="5">
        <f>COUNTIF('Set principal'!D2:D500,A15)</f>
        <v/>
      </c>
    </row>
    <row r="16">
      <c r="A16" s="4" t="inlineStr">
        <is>
          <t>Pikachu Rare</t>
        </is>
      </c>
      <c r="B16" s="5">
        <f>COUNTIF('Set principal'!D2:D500,A16)</f>
        <v/>
      </c>
    </row>
    <row r="17">
      <c r="A17" s="4" t="inlineStr">
        <is>
          <t>Illustration Rare</t>
        </is>
      </c>
      <c r="B17" s="5">
        <f>COUNTIF(Secretas!D2:D500,A17)</f>
        <v/>
      </c>
    </row>
    <row r="18">
      <c r="A18" s="4" t="inlineStr">
        <is>
          <t>Special Illustration Rare</t>
        </is>
      </c>
      <c r="B18" s="5">
        <f>COUNTIF(Secretas!D2:D500,A18)</f>
        <v/>
      </c>
    </row>
    <row r="19">
      <c r="A19" s="4" t="inlineStr">
        <is>
          <t>Futuristic Rare</t>
        </is>
      </c>
      <c r="B19" s="5">
        <f>COUNTIF(Secretas!D2:D500,A19)</f>
        <v/>
      </c>
    </row>
    <row r="20">
      <c r="A20" s="4" t="inlineStr">
        <is>
          <t>Secret Rare (RGB)</t>
        </is>
      </c>
      <c r="B20" s="5">
        <f>COUNTIF(Secretas!D2:D500,A20)</f>
        <v/>
      </c>
    </row>
    <row r="22">
      <c r="A22" s="10" t="inlineStr">
        <is>
          <t>Notas y fuentes</t>
        </is>
      </c>
    </row>
    <row r="23">
      <c r="A23" s="12" t="inlineStr">
        <is>
          <t>• Cómo usarlo: marca «Sí» en la columna «¿La tengo?» de cada hoja; este resumen se actualiza solo.</t>
        </is>
      </c>
    </row>
    <row r="24">
      <c r="A24" s="12" t="inlineStr">
        <is>
          <t>• Total de cartas de la expansión en inglés: 199 (128 set principal + 30 secretas numeradas + 3 Mew RGB + 30 Classic Collection + 8 Energías).</t>
        </is>
      </c>
    </row>
    <row r="25">
      <c r="A25" s="12" t="inlineStr">
        <is>
          <t>• Fuentes: lista oficial de The Pokémon Company (galería), VICE (16/09/2026), PokéBeach y TCGscreener (ilustradores y rarezas).</t>
        </is>
      </c>
    </row>
    <row r="26">
      <c r="A26" s="12" t="inlineStr">
        <is>
          <t>• Los Mew RGB (R/G/B) no aparecen en la lista oficial; su existencia está confirmada por hallazgos en sobres y datos de Pokémon TCG Live.</t>
        </is>
      </c>
    </row>
    <row r="27">
      <c r="A27" s="12" t="inlineStr">
        <is>
          <t>• 4 secretas (143, 151, 152, 154) no tenían imagen en inglés en las fuentes consultadas: su ilustrador queda en blanco. Umbreon ex 092 también.</t>
        </is>
      </c>
    </row>
    <row r="28">
      <c r="A28" s="19" t="inlineStr">
        <is>
          <t>• Imágenes: columna «Imagen» (Excel 365 / Google Sheets, requiere internet), cargadas desde Limitless TCG. Las Energías no tienen imagen.</t>
        </is>
      </c>
    </row>
    <row r="29">
      <c r="A29" s="12" t="inlineStr">
        <is>
          <t>• Las promos de productos (Nidorina, Ditto, Eevee, etc.) NO forman parte de las 199 cartas y no se incluyen.</t>
        </is>
      </c>
    </row>
    <row r="30">
      <c r="A30" s="12" t="inlineStr">
        <is>
          <t>• El Classic Collection no es legal en torneos; el resto del set sí desde el 25/09/2026.</t>
        </is>
      </c>
    </row>
    <row r="31"/>
    <row r="32"/>
    <row r="33"/>
    <row r="34"/>
    <row r="35"/>
    <row r="36"/>
    <row r="37"/>
    <row r="38"/>
    <row r="39"/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9"/>
  <sheetViews>
    <sheetView tabSelected="1" zoomScaleNormal="100" workbookViewId="0">
      <pane ySplit="1" topLeftCell="A2" activePane="bottomLeft" state="frozen"/>
      <selection pane="bottomLeft" activeCell="F10" sqref="F10"/>
    </sheetView>
  </sheetViews>
  <sheetFormatPr baseColWidth="10" defaultColWidth="8.7109375" defaultRowHeight="15"/>
  <cols>
    <col width="10" customWidth="1" min="1" max="1"/>
    <col width="24" customWidth="1" min="2" max="2"/>
    <col width="13" customWidth="1" min="3" max="3"/>
    <col width="16" customWidth="1" min="4" max="4"/>
    <col width="24" customWidth="1" min="5" max="5"/>
    <col width="12" customWidth="1" min="6" max="6"/>
    <col width="17" customWidth="1" min="7" max="7"/>
  </cols>
  <sheetData>
    <row r="1" ht="25.5" customHeight="1">
      <c r="A1" s="13" t="inlineStr">
        <is>
          <t>N.º</t>
        </is>
      </c>
      <c r="B1" s="13" t="inlineStr">
        <is>
          <t>Nombre</t>
        </is>
      </c>
      <c r="C1" s="13" t="inlineStr">
        <is>
          <t>Tipo</t>
        </is>
      </c>
      <c r="D1" s="13" t="inlineStr">
        <is>
          <t>Rareza</t>
        </is>
      </c>
      <c r="E1" s="13" t="inlineStr">
        <is>
          <t>Ilustrador</t>
        </is>
      </c>
      <c r="F1" s="13" t="inlineStr">
        <is>
          <t>¿La tengo?</t>
        </is>
      </c>
      <c r="G1" s="17" t="inlineStr">
        <is>
          <t>Imagen</t>
        </is>
      </c>
    </row>
    <row r="2" ht="105" customHeight="1">
      <c r="A2" s="14" t="inlineStr">
        <is>
          <t>001/128</t>
        </is>
      </c>
      <c r="B2" s="14" t="inlineStr">
        <is>
          <t>Exeggcute</t>
        </is>
      </c>
      <c r="C2" s="14" t="inlineStr">
        <is>
          <t>Planta</t>
        </is>
      </c>
      <c r="D2" s="14" t="inlineStr">
        <is>
          <t>Common</t>
        </is>
      </c>
      <c r="E2" s="14" t="inlineStr">
        <is>
          <t>Nelnal</t>
        </is>
      </c>
      <c r="F2" s="15" t="inlineStr">
        <is>
          <t>Sí</t>
        </is>
      </c>
      <c r="G2" s="18">
        <f>IFERROR(_xlfn.IMAGE("https://limitlesstcg.nyc3.cdn.digitaloceanspaces.com/tpci/30C/30C_001_R_EN_SM.png","001/128"),"Sin imagen")</f>
        <v/>
      </c>
    </row>
    <row r="3" ht="105" customHeight="1">
      <c r="A3" s="14" t="inlineStr">
        <is>
          <t>002/128</t>
        </is>
      </c>
      <c r="B3" s="14" t="inlineStr">
        <is>
          <t>Alolan Exeggutor</t>
        </is>
      </c>
      <c r="C3" s="14" t="inlineStr">
        <is>
          <t>Planta</t>
        </is>
      </c>
      <c r="D3" s="14" t="inlineStr">
        <is>
          <t>Common</t>
        </is>
      </c>
      <c r="E3" s="14" t="inlineStr">
        <is>
          <t>Oswaldo KATO</t>
        </is>
      </c>
      <c r="F3" s="15" t="inlineStr">
        <is>
          <t>Sí</t>
        </is>
      </c>
      <c r="G3" s="18">
        <f>IFERROR(_xlfn.IMAGE("https://limitlesstcg.nyc3.cdn.digitaloceanspaces.com/tpci/30C/30C_002_R_EN_SM.png","002/128"),"Sin imagen")</f>
        <v/>
      </c>
    </row>
    <row r="4" ht="105" customHeight="1">
      <c r="A4" s="14" t="inlineStr">
        <is>
          <t>003/128</t>
        </is>
      </c>
      <c r="B4" s="14" t="inlineStr">
        <is>
          <t>Volbeat</t>
        </is>
      </c>
      <c r="C4" s="14" t="inlineStr">
        <is>
          <t>Planta</t>
        </is>
      </c>
      <c r="D4" s="14" t="inlineStr">
        <is>
          <t>Common</t>
        </is>
      </c>
      <c r="E4" s="14" t="inlineStr">
        <is>
          <t>Yoriyuki Ikegami</t>
        </is>
      </c>
      <c r="F4" s="15" t="inlineStr">
        <is>
          <t>Sí</t>
        </is>
      </c>
      <c r="G4" s="18">
        <f>IFERROR(_xlfn.IMAGE("https://limitlesstcg.nyc3.cdn.digitaloceanspaces.com/tpci/30C/30C_003_R_EN_SM.png","003/128"),"Sin imagen")</f>
        <v/>
      </c>
    </row>
    <row r="5" ht="105" customHeight="1">
      <c r="A5" s="14" t="inlineStr">
        <is>
          <t>004/128</t>
        </is>
      </c>
      <c r="B5" s="14" t="inlineStr">
        <is>
          <t>Illumise</t>
        </is>
      </c>
      <c r="C5" s="14" t="inlineStr">
        <is>
          <t>Planta</t>
        </is>
      </c>
      <c r="D5" s="14" t="inlineStr">
        <is>
          <t>Common</t>
        </is>
      </c>
      <c r="E5" s="14" t="inlineStr">
        <is>
          <t>Shibuzoh.</t>
        </is>
      </c>
      <c r="F5" s="15" t="n"/>
      <c r="G5" s="18">
        <f>IFERROR(_xlfn.IMAGE("https://limitlesstcg.nyc3.cdn.digitaloceanspaces.com/tpci/30C/30C_004_R_EN_SM.png","004/128"),"Sin imagen")</f>
        <v/>
      </c>
    </row>
    <row r="6" ht="105" customHeight="1">
      <c r="A6" s="14" t="inlineStr">
        <is>
          <t>005/128</t>
        </is>
      </c>
      <c r="B6" s="14" t="inlineStr">
        <is>
          <t>Tropius</t>
        </is>
      </c>
      <c r="C6" s="14" t="inlineStr">
        <is>
          <t>Planta</t>
        </is>
      </c>
      <c r="D6" s="14" t="inlineStr">
        <is>
          <t>Common</t>
        </is>
      </c>
      <c r="E6" s="14" t="inlineStr">
        <is>
          <t>Minahamu</t>
        </is>
      </c>
      <c r="F6" s="15" t="n"/>
      <c r="G6" s="18">
        <f>IFERROR(_xlfn.IMAGE("https://limitlesstcg.nyc3.cdn.digitaloceanspaces.com/tpci/30C/30C_005_R_EN_SM.png","005/128"),"Sin imagen")</f>
        <v/>
      </c>
    </row>
    <row r="7" ht="105" customHeight="1">
      <c r="A7" s="14" t="inlineStr">
        <is>
          <t>006/128</t>
        </is>
      </c>
      <c r="B7" s="14" t="inlineStr">
        <is>
          <t>Cherubi</t>
        </is>
      </c>
      <c r="C7" s="14" t="inlineStr">
        <is>
          <t>Planta</t>
        </is>
      </c>
      <c r="D7" s="14" t="inlineStr">
        <is>
          <t>Common</t>
        </is>
      </c>
      <c r="E7" s="14" t="inlineStr">
        <is>
          <t>Kurata So</t>
        </is>
      </c>
      <c r="F7" s="15" t="inlineStr">
        <is>
          <t>Sí</t>
        </is>
      </c>
      <c r="G7" s="18">
        <f>IFERROR(_xlfn.IMAGE("https://limitlesstcg.nyc3.cdn.digitaloceanspaces.com/tpci/30C/30C_006_R_EN_SM.png","006/128"),"Sin imagen")</f>
        <v/>
      </c>
    </row>
    <row r="8" ht="105" customHeight="1">
      <c r="A8" s="14" t="inlineStr">
        <is>
          <t>007/128</t>
        </is>
      </c>
      <c r="B8" s="14" t="inlineStr">
        <is>
          <t>Cherrim</t>
        </is>
      </c>
      <c r="C8" s="14" t="inlineStr">
        <is>
          <t>Planta</t>
        </is>
      </c>
      <c r="D8" s="14" t="inlineStr">
        <is>
          <t>Common</t>
        </is>
      </c>
      <c r="E8" s="14" t="inlineStr">
        <is>
          <t>takashi shiraishi</t>
        </is>
      </c>
      <c r="F8" s="15" t="n"/>
      <c r="G8" s="18">
        <f>IFERROR(_xlfn.IMAGE("https://limitlesstcg.nyc3.cdn.digitaloceanspaces.com/tpci/30C/30C_007_R_EN_SM.png","007/128"),"Sin imagen")</f>
        <v/>
      </c>
    </row>
    <row r="9" ht="105" customHeight="1">
      <c r="A9" s="14" t="inlineStr">
        <is>
          <t>008/128</t>
        </is>
      </c>
      <c r="B9" s="14" t="inlineStr">
        <is>
          <t>Vivillon</t>
        </is>
      </c>
      <c r="C9" s="14" t="inlineStr">
        <is>
          <t>Planta</t>
        </is>
      </c>
      <c r="D9" s="14" t="inlineStr">
        <is>
          <t>Common</t>
        </is>
      </c>
      <c r="E9" s="14" t="inlineStr">
        <is>
          <t>Jerky</t>
        </is>
      </c>
      <c r="F9" s="15" t="n"/>
      <c r="G9" s="18">
        <f>IFERROR(_xlfn.IMAGE("https://limitlesstcg.nyc3.cdn.digitaloceanspaces.com/tpci/30C/30C_008_R_EN_SM.png","008/128"),"Sin imagen")</f>
        <v/>
      </c>
    </row>
    <row r="10" ht="105" customHeight="1">
      <c r="A10" s="14" t="inlineStr">
        <is>
          <t>009/128</t>
        </is>
      </c>
      <c r="B10" s="14" t="inlineStr">
        <is>
          <t>Vulpix</t>
        </is>
      </c>
      <c r="C10" s="14" t="inlineStr">
        <is>
          <t>Fuego</t>
        </is>
      </c>
      <c r="D10" s="14" t="inlineStr">
        <is>
          <t>Common</t>
        </is>
      </c>
      <c r="E10" s="14" t="inlineStr">
        <is>
          <t>miki kudo</t>
        </is>
      </c>
      <c r="F10" s="15" t="n"/>
      <c r="G10" s="18">
        <f>IFERROR(_xlfn.IMAGE("https://limitlesstcg.nyc3.cdn.digitaloceanspaces.com/tpci/30C/30C_009_R_EN_SM.png","009/128"),"Sin imagen")</f>
        <v/>
      </c>
    </row>
    <row r="11" ht="105" customHeight="1">
      <c r="A11" s="14" t="inlineStr">
        <is>
          <t>010/128</t>
        </is>
      </c>
      <c r="B11" s="14" t="inlineStr">
        <is>
          <t>Ninetales</t>
        </is>
      </c>
      <c r="C11" s="14" t="inlineStr">
        <is>
          <t>Fuego</t>
        </is>
      </c>
      <c r="D11" s="14" t="inlineStr">
        <is>
          <t>Common</t>
        </is>
      </c>
      <c r="E11" s="14" t="inlineStr">
        <is>
          <t>kodama</t>
        </is>
      </c>
      <c r="F11" s="15" t="n"/>
      <c r="G11" s="18">
        <f>IFERROR(_xlfn.IMAGE("https://limitlesstcg.nyc3.cdn.digitaloceanspaces.com/tpci/30C/30C_010_R_EN_SM.png","010/128"),"Sin imagen")</f>
        <v/>
      </c>
    </row>
    <row r="12" ht="105" customHeight="1">
      <c r="A12" s="14" t="inlineStr">
        <is>
          <t>011/128</t>
        </is>
      </c>
      <c r="B12" s="14" t="inlineStr">
        <is>
          <t>Moltres</t>
        </is>
      </c>
      <c r="C12" s="14" t="inlineStr">
        <is>
          <t>Fuego</t>
        </is>
      </c>
      <c r="D12" s="14" t="inlineStr">
        <is>
          <t>Common</t>
        </is>
      </c>
      <c r="E12" s="14" t="inlineStr">
        <is>
          <t>HYOGONOSUKE</t>
        </is>
      </c>
      <c r="F12" s="15" t="n"/>
      <c r="G12" s="18">
        <f>IFERROR(_xlfn.IMAGE("https://limitlesstcg.nyc3.cdn.digitaloceanspaces.com/tpci/30C/30C_011_R_EN_SM.png","011/128"),"Sin imagen")</f>
        <v/>
      </c>
    </row>
    <row r="13" ht="105" customHeight="1">
      <c r="A13" s="14" t="inlineStr">
        <is>
          <t>012/128</t>
        </is>
      </c>
      <c r="B13" s="14" t="inlineStr">
        <is>
          <t>Ho-Oh</t>
        </is>
      </c>
      <c r="C13" s="14" t="inlineStr">
        <is>
          <t>Fuego</t>
        </is>
      </c>
      <c r="D13" s="14" t="inlineStr">
        <is>
          <t>Rare</t>
        </is>
      </c>
      <c r="E13" s="14" t="inlineStr">
        <is>
          <t>Anesaki Dynamic</t>
        </is>
      </c>
      <c r="F13" s="15" t="n"/>
      <c r="G13" s="18">
        <f>IFERROR(_xlfn.IMAGE("https://limitlesstcg.nyc3.cdn.digitaloceanspaces.com/tpci/30C/30C_012_R_EN_SM.png","012/128"),"Sin imagen")</f>
        <v/>
      </c>
    </row>
    <row r="14" ht="105" customHeight="1">
      <c r="A14" s="14" t="inlineStr">
        <is>
          <t>013/128</t>
        </is>
      </c>
      <c r="B14" s="14" t="inlineStr">
        <is>
          <t>Victini</t>
        </is>
      </c>
      <c r="C14" s="14" t="inlineStr">
        <is>
          <t>Fuego</t>
        </is>
      </c>
      <c r="D14" s="14" t="inlineStr">
        <is>
          <t>Common</t>
        </is>
      </c>
      <c r="E14" s="14" t="inlineStr">
        <is>
          <t>Jiro Sasumo</t>
        </is>
      </c>
      <c r="F14" s="15" t="n"/>
      <c r="G14" s="18">
        <f>IFERROR(_xlfn.IMAGE("https://limitlesstcg.nyc3.cdn.digitaloceanspaces.com/tpci/30C/30C_013_R_EN_SM.png","013/128"),"Sin imagen")</f>
        <v/>
      </c>
    </row>
    <row r="15" ht="105" customHeight="1">
      <c r="A15" s="14" t="inlineStr">
        <is>
          <t>014/128</t>
        </is>
      </c>
      <c r="B15" s="14" t="inlineStr">
        <is>
          <t>Reshiram</t>
        </is>
      </c>
      <c r="C15" s="14" t="inlineStr">
        <is>
          <t>Fuego</t>
        </is>
      </c>
      <c r="D15" s="14" t="inlineStr">
        <is>
          <t>Rare</t>
        </is>
      </c>
      <c r="E15" s="14" t="inlineStr">
        <is>
          <t>Uta</t>
        </is>
      </c>
      <c r="F15" s="15" t="n"/>
      <c r="G15" s="18">
        <f>IFERROR(_xlfn.IMAGE("https://limitlesstcg.nyc3.cdn.digitaloceanspaces.com/tpci/30C/30C_014_R_EN_SM.png","014/128"),"Sin imagen")</f>
        <v/>
      </c>
    </row>
    <row r="16" ht="105" customHeight="1">
      <c r="A16" s="14" t="inlineStr">
        <is>
          <t>015/128</t>
        </is>
      </c>
      <c r="B16" s="14" t="inlineStr">
        <is>
          <t>Fuecoco ex</t>
        </is>
      </c>
      <c r="C16" s="14" t="inlineStr">
        <is>
          <t>Fuego</t>
        </is>
      </c>
      <c r="D16" s="14" t="inlineStr">
        <is>
          <t>Double Rare</t>
        </is>
      </c>
      <c r="E16" s="14" t="inlineStr">
        <is>
          <t>5ban Graphics</t>
        </is>
      </c>
      <c r="F16" s="15" t="n"/>
      <c r="G16" s="18">
        <f>IFERROR(_xlfn.IMAGE("https://limitlesstcg.nyc3.cdn.digitaloceanspaces.com/tpci/30C/30C_015_R_EN_SM.png","015/128"),"Sin imagen")</f>
        <v/>
      </c>
    </row>
    <row r="17" ht="105" customHeight="1">
      <c r="A17" s="14" t="inlineStr">
        <is>
          <t>016/128</t>
        </is>
      </c>
      <c r="B17" s="14" t="inlineStr">
        <is>
          <t>Slowpoke</t>
        </is>
      </c>
      <c r="C17" s="14" t="inlineStr">
        <is>
          <t>Agua</t>
        </is>
      </c>
      <c r="D17" s="14" t="inlineStr">
        <is>
          <t>Common</t>
        </is>
      </c>
      <c r="E17" s="14" t="inlineStr">
        <is>
          <t>Uninori</t>
        </is>
      </c>
      <c r="F17" s="15" t="n"/>
      <c r="G17" s="18">
        <f>IFERROR(_xlfn.IMAGE("https://limitlesstcg.nyc3.cdn.digitaloceanspaces.com/tpci/30C/30C_016_R_EN_SM.png","016/128"),"Sin imagen")</f>
        <v/>
      </c>
    </row>
    <row r="18" ht="105" customHeight="1">
      <c r="A18" s="14" t="inlineStr">
        <is>
          <t>017/128</t>
        </is>
      </c>
      <c r="B18" s="14" t="inlineStr">
        <is>
          <t>Lapras</t>
        </is>
      </c>
      <c r="C18" s="14" t="inlineStr">
        <is>
          <t>Agua</t>
        </is>
      </c>
      <c r="D18" s="14" t="inlineStr">
        <is>
          <t>Common</t>
        </is>
      </c>
      <c r="E18" s="14" t="inlineStr">
        <is>
          <t>Masa</t>
        </is>
      </c>
      <c r="F18" s="15" t="n"/>
      <c r="G18" s="18">
        <f>IFERROR(_xlfn.IMAGE("https://limitlesstcg.nyc3.cdn.digitaloceanspaces.com/tpci/30C/30C_017_R_EN_SM.png","017/128"),"Sin imagen")</f>
        <v/>
      </c>
    </row>
    <row r="19" ht="105" customHeight="1">
      <c r="A19" s="14" t="inlineStr">
        <is>
          <t>018/128</t>
        </is>
      </c>
      <c r="B19" s="14" t="inlineStr">
        <is>
          <t>Articuno</t>
        </is>
      </c>
      <c r="C19" s="14" t="inlineStr">
        <is>
          <t>Agua</t>
        </is>
      </c>
      <c r="D19" s="14" t="inlineStr">
        <is>
          <t>Common</t>
        </is>
      </c>
      <c r="E19" s="14" t="inlineStr">
        <is>
          <t>HYOGONOSUKE</t>
        </is>
      </c>
      <c r="F19" s="15" t="n"/>
      <c r="G19" s="18">
        <f>IFERROR(_xlfn.IMAGE("https://limitlesstcg.nyc3.cdn.digitaloceanspaces.com/tpci/30C/30C_018_R_EN_SM.png","018/128"),"Sin imagen")</f>
        <v/>
      </c>
    </row>
    <row r="20" ht="105" customHeight="1">
      <c r="A20" s="14" t="inlineStr">
        <is>
          <t>019/128</t>
        </is>
      </c>
      <c r="B20" s="14" t="inlineStr">
        <is>
          <t>Kyogre</t>
        </is>
      </c>
      <c r="C20" s="14" t="inlineStr">
        <is>
          <t>Agua</t>
        </is>
      </c>
      <c r="D20" s="14" t="inlineStr">
        <is>
          <t>Rare</t>
        </is>
      </c>
      <c r="E20" s="14" t="inlineStr">
        <is>
          <t>Tonji Matsuno</t>
        </is>
      </c>
      <c r="F20" s="15" t="n"/>
      <c r="G20" s="18">
        <f>IFERROR(_xlfn.IMAGE("https://limitlesstcg.nyc3.cdn.digitaloceanspaces.com/tpci/30C/30C_019_R_EN_SM.png","019/128"),"Sin imagen")</f>
        <v/>
      </c>
    </row>
    <row r="21" ht="105" customHeight="1">
      <c r="A21" s="14" t="inlineStr">
        <is>
          <t>020/128</t>
        </is>
      </c>
      <c r="B21" s="14" t="inlineStr">
        <is>
          <t>Palkia</t>
        </is>
      </c>
      <c r="C21" s="14" t="inlineStr">
        <is>
          <t>Agua</t>
        </is>
      </c>
      <c r="D21" s="14" t="inlineStr">
        <is>
          <t>Rare</t>
        </is>
      </c>
      <c r="E21" s="14" t="inlineStr">
        <is>
          <t>kawayoo</t>
        </is>
      </c>
      <c r="F21" s="15" t="n"/>
      <c r="G21" s="18">
        <f>IFERROR(_xlfn.IMAGE("https://limitlesstcg.nyc3.cdn.digitaloceanspaces.com/tpci/30C/30C_020_R_EN_SM.png","020/128"),"Sin imagen")</f>
        <v/>
      </c>
    </row>
    <row r="22" ht="105" customHeight="1">
      <c r="A22" s="14" t="inlineStr">
        <is>
          <t>021/128</t>
        </is>
      </c>
      <c r="B22" s="14" t="inlineStr">
        <is>
          <t>Greninja ex</t>
        </is>
      </c>
      <c r="C22" s="14" t="inlineStr">
        <is>
          <t>Agua</t>
        </is>
      </c>
      <c r="D22" s="14" t="inlineStr">
        <is>
          <t>Double Rare</t>
        </is>
      </c>
      <c r="E22" s="14" t="inlineStr">
        <is>
          <t>5ban Graphics</t>
        </is>
      </c>
      <c r="F22" s="15" t="n"/>
      <c r="G22" s="18">
        <f>IFERROR(_xlfn.IMAGE("https://limitlesstcg.nyc3.cdn.digitaloceanspaces.com/tpci/30C/30C_021_R_EN_SM.png","021/128"),"Sin imagen")</f>
        <v/>
      </c>
    </row>
    <row r="23" ht="105" customHeight="1">
      <c r="A23" s="14" t="inlineStr">
        <is>
          <t>022/128</t>
        </is>
      </c>
      <c r="B23" s="14" t="inlineStr">
        <is>
          <t>Wishiwashi</t>
        </is>
      </c>
      <c r="C23" s="14" t="inlineStr">
        <is>
          <t>Agua</t>
        </is>
      </c>
      <c r="D23" s="14" t="inlineStr">
        <is>
          <t>Common</t>
        </is>
      </c>
      <c r="E23" s="14" t="inlineStr">
        <is>
          <t>Narano</t>
        </is>
      </c>
      <c r="F23" s="15" t="n"/>
      <c r="G23" s="18">
        <f>IFERROR(_xlfn.IMAGE("https://limitlesstcg.nyc3.cdn.digitaloceanspaces.com/tpci/30C/30C_022_R_EN_SM.png","022/128"),"Sin imagen")</f>
        <v/>
      </c>
    </row>
    <row r="24" ht="105" customHeight="1">
      <c r="A24" s="14" t="inlineStr">
        <is>
          <t>023/128</t>
        </is>
      </c>
      <c r="B24" s="14" t="inlineStr">
        <is>
          <t>Pikachu (01/30)</t>
        </is>
      </c>
      <c r="C24" s="14" t="inlineStr">
        <is>
          <t>Rayo</t>
        </is>
      </c>
      <c r="D24" s="14" t="inlineStr">
        <is>
          <t>Pikachu Rare</t>
        </is>
      </c>
      <c r="E24" s="14" t="inlineStr">
        <is>
          <t>Ken Sugimori</t>
        </is>
      </c>
      <c r="F24" s="15" t="n"/>
      <c r="G24" s="18">
        <f>IFERROR(_xlfn.IMAGE("https://limitlesstcg.nyc3.cdn.digitaloceanspaces.com/tpci/30C/30C_023_R_EN_SM.png","023/128"),"Sin imagen")</f>
        <v/>
      </c>
    </row>
    <row r="25" ht="105" customHeight="1">
      <c r="A25" s="14" t="inlineStr">
        <is>
          <t>024/128</t>
        </is>
      </c>
      <c r="B25" s="14" t="inlineStr">
        <is>
          <t>Pikachu (02/30)</t>
        </is>
      </c>
      <c r="C25" s="14" t="inlineStr">
        <is>
          <t>Rayo</t>
        </is>
      </c>
      <c r="D25" s="14" t="inlineStr">
        <is>
          <t>Pikachu Rare</t>
        </is>
      </c>
      <c r="E25" s="14" t="inlineStr">
        <is>
          <t>danciao</t>
        </is>
      </c>
      <c r="F25" s="15" t="n"/>
      <c r="G25" s="18">
        <f>IFERROR(_xlfn.IMAGE("https://limitlesstcg.nyc3.cdn.digitaloceanspaces.com/tpci/30C/30C_024_R_EN_SM.png","024/128"),"Sin imagen")</f>
        <v/>
      </c>
    </row>
    <row r="26" ht="105" customHeight="1">
      <c r="A26" s="14" t="inlineStr">
        <is>
          <t>025/128</t>
        </is>
      </c>
      <c r="B26" s="14" t="inlineStr">
        <is>
          <t>Pikachu (03/30)</t>
        </is>
      </c>
      <c r="C26" s="14" t="inlineStr">
        <is>
          <t>Rayo</t>
        </is>
      </c>
      <c r="D26" s="14" t="inlineStr">
        <is>
          <t>Pikachu Rare</t>
        </is>
      </c>
      <c r="E26" s="14" t="inlineStr">
        <is>
          <t>satoma</t>
        </is>
      </c>
      <c r="F26" s="15" t="n"/>
      <c r="G26" s="18">
        <f>IFERROR(_xlfn.IMAGE("https://limitlesstcg.nyc3.cdn.digitaloceanspaces.com/tpci/30C/30C_025_R_EN_SM.png","025/128"),"Sin imagen")</f>
        <v/>
      </c>
    </row>
    <row r="27" ht="105" customHeight="1">
      <c r="A27" s="14" t="inlineStr">
        <is>
          <t>026/128</t>
        </is>
      </c>
      <c r="B27" s="14" t="inlineStr">
        <is>
          <t>Pikachu (04/30)</t>
        </is>
      </c>
      <c r="C27" s="14" t="inlineStr">
        <is>
          <t>Rayo</t>
        </is>
      </c>
      <c r="D27" s="14" t="inlineStr">
        <is>
          <t>Pikachu Rare</t>
        </is>
      </c>
      <c r="E27" s="14" t="inlineStr">
        <is>
          <t>Takeshi Nakamura</t>
        </is>
      </c>
      <c r="F27" s="15" t="n"/>
      <c r="G27" s="18">
        <f>IFERROR(_xlfn.IMAGE("https://limitlesstcg.nyc3.cdn.digitaloceanspaces.com/tpci/30C/30C_026_R_EN_SM.png","026/128"),"Sin imagen")</f>
        <v/>
      </c>
    </row>
    <row r="28" ht="105" customHeight="1">
      <c r="A28" s="14" t="inlineStr">
        <is>
          <t>027/128</t>
        </is>
      </c>
      <c r="B28" s="14" t="inlineStr">
        <is>
          <t>Pikachu (05/30)</t>
        </is>
      </c>
      <c r="C28" s="14" t="inlineStr">
        <is>
          <t>Rayo</t>
        </is>
      </c>
      <c r="D28" s="14" t="inlineStr">
        <is>
          <t>Pikachu Rare</t>
        </is>
      </c>
      <c r="E28" s="14" t="inlineStr">
        <is>
          <t>Asako Ito</t>
        </is>
      </c>
      <c r="F28" s="15" t="n"/>
      <c r="G28" s="18">
        <f>IFERROR(_xlfn.IMAGE("https://limitlesstcg.nyc3.cdn.digitaloceanspaces.com/tpci/30C/30C_027_R_EN_SM.png","027/128"),"Sin imagen")</f>
        <v/>
      </c>
    </row>
    <row r="29" ht="105" customHeight="1">
      <c r="A29" s="14" t="inlineStr">
        <is>
          <t>028/128</t>
        </is>
      </c>
      <c r="B29" s="14" t="inlineStr">
        <is>
          <t>Pikachu (06/30)</t>
        </is>
      </c>
      <c r="C29" s="14" t="inlineStr">
        <is>
          <t>Rayo</t>
        </is>
      </c>
      <c r="D29" s="14" t="inlineStr">
        <is>
          <t>Pikachu Rare</t>
        </is>
      </c>
      <c r="E29" s="14" t="inlineStr">
        <is>
          <t>sowsow</t>
        </is>
      </c>
      <c r="F29" s="15" t="n"/>
      <c r="G29" s="18">
        <f>IFERROR(_xlfn.IMAGE("https://limitlesstcg.nyc3.cdn.digitaloceanspaces.com/tpci/30C/30C_028_R_EN_SM.png","028/128"),"Sin imagen")</f>
        <v/>
      </c>
    </row>
    <row r="30" ht="105" customHeight="1">
      <c r="A30" s="14" t="inlineStr">
        <is>
          <t>029/128</t>
        </is>
      </c>
      <c r="B30" s="14" t="inlineStr">
        <is>
          <t>Pikachu (07/30)</t>
        </is>
      </c>
      <c r="C30" s="14" t="inlineStr">
        <is>
          <t>Rayo</t>
        </is>
      </c>
      <c r="D30" s="14" t="inlineStr">
        <is>
          <t>Pikachu Rare</t>
        </is>
      </c>
      <c r="E30" s="14" t="inlineStr">
        <is>
          <t>James Turner</t>
        </is>
      </c>
      <c r="F30" s="15" t="n"/>
      <c r="G30" s="18">
        <f>IFERROR(_xlfn.IMAGE("https://limitlesstcg.nyc3.cdn.digitaloceanspaces.com/tpci/30C/30C_029_R_EN_SM.png","029/128"),"Sin imagen")</f>
        <v/>
      </c>
    </row>
    <row r="31" ht="105" customHeight="1">
      <c r="A31" s="14" t="inlineStr">
        <is>
          <t>030/128</t>
        </is>
      </c>
      <c r="B31" s="14" t="inlineStr">
        <is>
          <t>Pikachu (08/30)</t>
        </is>
      </c>
      <c r="C31" s="14" t="inlineStr">
        <is>
          <t>Rayo</t>
        </is>
      </c>
      <c r="D31" s="14" t="inlineStr">
        <is>
          <t>Pikachu Rare</t>
        </is>
      </c>
      <c r="E31" s="14" t="inlineStr">
        <is>
          <t>DOM</t>
        </is>
      </c>
      <c r="F31" s="15" t="n"/>
      <c r="G31" s="18">
        <f>IFERROR(_xlfn.IMAGE("https://limitlesstcg.nyc3.cdn.digitaloceanspaces.com/tpci/30C/30C_030_R_EN_SM.png","030/128"),"Sin imagen")</f>
        <v/>
      </c>
    </row>
    <row r="32" ht="105" customHeight="1">
      <c r="A32" s="14" t="inlineStr">
        <is>
          <t>031/128</t>
        </is>
      </c>
      <c r="B32" s="14" t="inlineStr">
        <is>
          <t>Pikachu (09/30)</t>
        </is>
      </c>
      <c r="C32" s="14" t="inlineStr">
        <is>
          <t>Rayo</t>
        </is>
      </c>
      <c r="D32" s="14" t="inlineStr">
        <is>
          <t>Pikachu Rare</t>
        </is>
      </c>
      <c r="E32" s="14" t="inlineStr">
        <is>
          <t>Atsushi Furusawa</t>
        </is>
      </c>
      <c r="F32" s="15" t="n"/>
      <c r="G32" s="18">
        <f>IFERROR(_xlfn.IMAGE("https://limitlesstcg.nyc3.cdn.digitaloceanspaces.com/tpci/30C/30C_031_R_EN_SM.png","031/128"),"Sin imagen")</f>
        <v/>
      </c>
    </row>
    <row r="33" ht="105" customHeight="1">
      <c r="A33" s="14" t="inlineStr">
        <is>
          <t>032/128</t>
        </is>
      </c>
      <c r="B33" s="14" t="inlineStr">
        <is>
          <t>Pikachu (10/30)</t>
        </is>
      </c>
      <c r="C33" s="14" t="inlineStr">
        <is>
          <t>Rayo</t>
        </is>
      </c>
      <c r="D33" s="14" t="inlineStr">
        <is>
          <t>Pikachu Rare</t>
        </is>
      </c>
      <c r="E33" s="14" t="inlineStr">
        <is>
          <t>Tomokazu Komiya</t>
        </is>
      </c>
      <c r="F33" s="15" t="n"/>
      <c r="G33" s="18">
        <f>IFERROR(_xlfn.IMAGE("https://limitlesstcg.nyc3.cdn.digitaloceanspaces.com/tpci/30C/30C_032_R_EN_SM.png","032/128"),"Sin imagen")</f>
        <v/>
      </c>
    </row>
    <row r="34" ht="105" customHeight="1">
      <c r="A34" s="14" t="inlineStr">
        <is>
          <t>033/128</t>
        </is>
      </c>
      <c r="B34" s="14" t="inlineStr">
        <is>
          <t>Pikachu (11/30)</t>
        </is>
      </c>
      <c r="C34" s="14" t="inlineStr">
        <is>
          <t>Rayo</t>
        </is>
      </c>
      <c r="D34" s="14" t="inlineStr">
        <is>
          <t>Pikachu Rare</t>
        </is>
      </c>
      <c r="E34" s="14" t="inlineStr">
        <is>
          <t>Narumi Sato</t>
        </is>
      </c>
      <c r="F34" s="15" t="n"/>
      <c r="G34" s="18">
        <f>IFERROR(_xlfn.IMAGE("https://limitlesstcg.nyc3.cdn.digitaloceanspaces.com/tpci/30C/30C_033_R_EN_SM.png","033/128"),"Sin imagen")</f>
        <v/>
      </c>
    </row>
    <row r="35" ht="105" customHeight="1">
      <c r="A35" s="14" t="inlineStr">
        <is>
          <t>034/128</t>
        </is>
      </c>
      <c r="B35" s="14" t="inlineStr">
        <is>
          <t>Pikachu (12/30)</t>
        </is>
      </c>
      <c r="C35" s="14" t="inlineStr">
        <is>
          <t>Rayo</t>
        </is>
      </c>
      <c r="D35" s="14" t="inlineStr">
        <is>
          <t>Pikachu Rare</t>
        </is>
      </c>
      <c r="E35" s="14" t="inlineStr">
        <is>
          <t>USGMEN</t>
        </is>
      </c>
      <c r="F35" s="15" t="n"/>
      <c r="G35" s="18">
        <f>IFERROR(_xlfn.IMAGE("https://limitlesstcg.nyc3.cdn.digitaloceanspaces.com/tpci/30C/30C_034_R_EN_SM.png","034/128"),"Sin imagen")</f>
        <v/>
      </c>
    </row>
    <row r="36" ht="105" customHeight="1">
      <c r="A36" s="14" t="inlineStr">
        <is>
          <t>035/128</t>
        </is>
      </c>
      <c r="B36" s="14" t="inlineStr">
        <is>
          <t>Pikachu (13/30)</t>
        </is>
      </c>
      <c r="C36" s="14" t="inlineStr">
        <is>
          <t>Rayo</t>
        </is>
      </c>
      <c r="D36" s="14" t="inlineStr">
        <is>
          <t>Pikachu Rare</t>
        </is>
      </c>
      <c r="E36" s="14" t="inlineStr">
        <is>
          <t>Susumu Maeya</t>
        </is>
      </c>
      <c r="F36" s="15" t="n"/>
      <c r="G36" s="18">
        <f>IFERROR(_xlfn.IMAGE("https://limitlesstcg.nyc3.cdn.digitaloceanspaces.com/tpci/30C/30C_035_R_EN_SM.png","035/128"),"Sin imagen")</f>
        <v/>
      </c>
    </row>
    <row r="37" ht="105" customHeight="1">
      <c r="A37" s="14" t="inlineStr">
        <is>
          <t>036/128</t>
        </is>
      </c>
      <c r="B37" s="14" t="inlineStr">
        <is>
          <t>Pikachu (14/30)</t>
        </is>
      </c>
      <c r="C37" s="14" t="inlineStr">
        <is>
          <t>Rayo</t>
        </is>
      </c>
      <c r="D37" s="14" t="inlineStr">
        <is>
          <t>Pikachu Rare</t>
        </is>
      </c>
      <c r="E37" s="14" t="inlineStr">
        <is>
          <t>OKACHEKE</t>
        </is>
      </c>
      <c r="F37" s="15" t="n"/>
      <c r="G37" s="18">
        <f>IFERROR(_xlfn.IMAGE("https://limitlesstcg.nyc3.cdn.digitaloceanspaces.com/tpci/30C/30C_036_R_EN_SM.png","036/128"),"Sin imagen")</f>
        <v/>
      </c>
    </row>
    <row r="38" ht="105" customHeight="1">
      <c r="A38" s="14" t="inlineStr">
        <is>
          <t>037/128</t>
        </is>
      </c>
      <c r="B38" s="14" t="inlineStr">
        <is>
          <t>Pikachu (15/30)</t>
        </is>
      </c>
      <c r="C38" s="14" t="inlineStr">
        <is>
          <t>Rayo</t>
        </is>
      </c>
      <c r="D38" s="14" t="inlineStr">
        <is>
          <t>Pikachu Rare</t>
        </is>
      </c>
      <c r="E38" s="14" t="inlineStr">
        <is>
          <t>Yuu Nishida</t>
        </is>
      </c>
      <c r="F38" s="15" t="n"/>
      <c r="G38" s="18">
        <f>IFERROR(_xlfn.IMAGE("https://limitlesstcg.nyc3.cdn.digitaloceanspaces.com/tpci/30C/30C_037_R_EN_SM.png","037/128"),"Sin imagen")</f>
        <v/>
      </c>
    </row>
    <row r="39" ht="105" customHeight="1">
      <c r="A39" s="14" t="inlineStr">
        <is>
          <t>038/128</t>
        </is>
      </c>
      <c r="B39" s="14" t="inlineStr">
        <is>
          <t>Pikachu (16/30)</t>
        </is>
      </c>
      <c r="C39" s="14" t="inlineStr">
        <is>
          <t>Rayo</t>
        </is>
      </c>
      <c r="D39" s="14" t="inlineStr">
        <is>
          <t>Pikachu Rare</t>
        </is>
      </c>
      <c r="E39" s="14" t="inlineStr">
        <is>
          <t>Tetsu Kayama</t>
        </is>
      </c>
      <c r="F39" s="15" t="n"/>
      <c r="G39" s="18">
        <f>IFERROR(_xlfn.IMAGE("https://limitlesstcg.nyc3.cdn.digitaloceanspaces.com/tpci/30C/30C_038_R_EN_SM.png","038/128"),"Sin imagen")</f>
        <v/>
      </c>
    </row>
    <row r="40" ht="105" customHeight="1">
      <c r="A40" s="14" t="inlineStr">
        <is>
          <t>039/128</t>
        </is>
      </c>
      <c r="B40" s="14" t="inlineStr">
        <is>
          <t>Pikachu (17/30)</t>
        </is>
      </c>
      <c r="C40" s="14" t="inlineStr">
        <is>
          <t>Rayo</t>
        </is>
      </c>
      <c r="D40" s="14" t="inlineStr">
        <is>
          <t>Pikachu Rare</t>
        </is>
      </c>
      <c r="E40" s="14" t="inlineStr">
        <is>
          <t>Teeziro</t>
        </is>
      </c>
      <c r="F40" s="15" t="n"/>
      <c r="G40" s="18">
        <f>IFERROR(_xlfn.IMAGE("https://limitlesstcg.nyc3.cdn.digitaloceanspaces.com/tpci/30C/30C_039_R_EN_SM.png","039/128"),"Sin imagen")</f>
        <v/>
      </c>
    </row>
    <row r="41" ht="105" customHeight="1">
      <c r="A41" s="14" t="inlineStr">
        <is>
          <t>040/128</t>
        </is>
      </c>
      <c r="B41" s="14" t="inlineStr">
        <is>
          <t>Pikachu (18/30)</t>
        </is>
      </c>
      <c r="C41" s="14" t="inlineStr">
        <is>
          <t>Rayo</t>
        </is>
      </c>
      <c r="D41" s="14" t="inlineStr">
        <is>
          <t>Pikachu Rare</t>
        </is>
      </c>
      <c r="E41" s="14" t="inlineStr">
        <is>
          <t>Shinji Kanda</t>
        </is>
      </c>
      <c r="F41" s="15" t="n"/>
      <c r="G41" s="18">
        <f>IFERROR(_xlfn.IMAGE("https://limitlesstcg.nyc3.cdn.digitaloceanspaces.com/tpci/30C/30C_040_R_EN_SM.png","040/128"),"Sin imagen")</f>
        <v/>
      </c>
    </row>
    <row r="42" ht="105" customHeight="1">
      <c r="A42" s="14" t="inlineStr">
        <is>
          <t>041/128</t>
        </is>
      </c>
      <c r="B42" s="14" t="inlineStr">
        <is>
          <t>Pikachu (19/30)</t>
        </is>
      </c>
      <c r="C42" s="14" t="inlineStr">
        <is>
          <t>Rayo</t>
        </is>
      </c>
      <c r="D42" s="14" t="inlineStr">
        <is>
          <t>Pikachu Rare</t>
        </is>
      </c>
      <c r="E42" s="14" t="inlineStr">
        <is>
          <t>Rianti Hidayat</t>
        </is>
      </c>
      <c r="F42" s="15" t="n"/>
      <c r="G42" s="18">
        <f>IFERROR(_xlfn.IMAGE("https://limitlesstcg.nyc3.cdn.digitaloceanspaces.com/tpci/30C/30C_041_R_EN_SM.png","041/128"),"Sin imagen")</f>
        <v/>
      </c>
    </row>
    <row r="43" ht="105" customHeight="1">
      <c r="A43" s="14" t="inlineStr">
        <is>
          <t>042/128</t>
        </is>
      </c>
      <c r="B43" s="14" t="inlineStr">
        <is>
          <t>Pikachu (20/30)</t>
        </is>
      </c>
      <c r="C43" s="14" t="inlineStr">
        <is>
          <t>Rayo</t>
        </is>
      </c>
      <c r="D43" s="14" t="inlineStr">
        <is>
          <t>Pikachu Rare</t>
        </is>
      </c>
      <c r="E43" s="14" t="inlineStr">
        <is>
          <t>Akira Komayama</t>
        </is>
      </c>
      <c r="F43" s="15" t="n"/>
      <c r="G43" s="18">
        <f>IFERROR(_xlfn.IMAGE("https://limitlesstcg.nyc3.cdn.digitaloceanspaces.com/tpci/30C/30C_042_R_EN_SM.png","042/128"),"Sin imagen")</f>
        <v/>
      </c>
    </row>
    <row r="44" ht="105" customHeight="1">
      <c r="A44" s="14" t="inlineStr">
        <is>
          <t>043/128</t>
        </is>
      </c>
      <c r="B44" s="14" t="inlineStr">
        <is>
          <t>Pikachu (21/30)</t>
        </is>
      </c>
      <c r="C44" s="14" t="inlineStr">
        <is>
          <t>Rayo</t>
        </is>
      </c>
      <c r="D44" s="14" t="inlineStr">
        <is>
          <t>Pikachu Rare</t>
        </is>
      </c>
      <c r="E44" s="14" t="inlineStr">
        <is>
          <t>OOYAMA</t>
        </is>
      </c>
      <c r="F44" s="15" t="n"/>
      <c r="G44" s="18">
        <f>IFERROR(_xlfn.IMAGE("https://limitlesstcg.nyc3.cdn.digitaloceanspaces.com/tpci/30C/30C_043_R_EN_SM.png","043/128"),"Sin imagen")</f>
        <v/>
      </c>
    </row>
    <row r="45" ht="105" customHeight="1">
      <c r="A45" s="14" t="inlineStr">
        <is>
          <t>044/128</t>
        </is>
      </c>
      <c r="B45" s="14" t="inlineStr">
        <is>
          <t>Pikachu (22/30)</t>
        </is>
      </c>
      <c r="C45" s="14" t="inlineStr">
        <is>
          <t>Rayo</t>
        </is>
      </c>
      <c r="D45" s="14" t="inlineStr">
        <is>
          <t>Pikachu Rare</t>
        </is>
      </c>
      <c r="E45" s="14" t="inlineStr">
        <is>
          <t>akagi</t>
        </is>
      </c>
      <c r="F45" s="15" t="n"/>
      <c r="G45" s="18">
        <f>IFERROR(_xlfn.IMAGE("https://limitlesstcg.nyc3.cdn.digitaloceanspaces.com/tpci/30C/30C_044_R_EN_SM.png","044/128"),"Sin imagen")</f>
        <v/>
      </c>
    </row>
    <row r="46" ht="105" customHeight="1">
      <c r="A46" s="14" t="inlineStr">
        <is>
          <t>045/128</t>
        </is>
      </c>
      <c r="B46" s="14" t="inlineStr">
        <is>
          <t>Pikachu (23/30)</t>
        </is>
      </c>
      <c r="C46" s="14" t="inlineStr">
        <is>
          <t>Rayo</t>
        </is>
      </c>
      <c r="D46" s="14" t="inlineStr">
        <is>
          <t>Pikachu Rare</t>
        </is>
      </c>
      <c r="E46" s="14" t="inlineStr">
        <is>
          <t>Naoya Kimura</t>
        </is>
      </c>
      <c r="F46" s="15" t="n"/>
      <c r="G46" s="18">
        <f>IFERROR(_xlfn.IMAGE("https://limitlesstcg.nyc3.cdn.digitaloceanspaces.com/tpci/30C/30C_045_R_EN_SM.png","045/128"),"Sin imagen")</f>
        <v/>
      </c>
    </row>
    <row r="47" ht="105" customHeight="1">
      <c r="A47" s="14" t="inlineStr">
        <is>
          <t>046/128</t>
        </is>
      </c>
      <c r="B47" s="14" t="inlineStr">
        <is>
          <t>Pikachu (24/30)</t>
        </is>
      </c>
      <c r="C47" s="14" t="inlineStr">
        <is>
          <t>Rayo</t>
        </is>
      </c>
      <c r="D47" s="14" t="inlineStr">
        <is>
          <t>Pikachu Rare</t>
        </is>
      </c>
      <c r="E47" s="14" t="inlineStr">
        <is>
          <t>svlt</t>
        </is>
      </c>
      <c r="F47" s="15" t="n"/>
      <c r="G47" s="18">
        <f>IFERROR(_xlfn.IMAGE("https://limitlesstcg.nyc3.cdn.digitaloceanspaces.com/tpci/30C/30C_046_R_EN_SM.png","046/128"),"Sin imagen")</f>
        <v/>
      </c>
    </row>
    <row r="48" ht="105" customHeight="1">
      <c r="A48" s="14" t="inlineStr">
        <is>
          <t>047/128</t>
        </is>
      </c>
      <c r="B48" s="14" t="inlineStr">
        <is>
          <t>Pikachu (25/30)</t>
        </is>
      </c>
      <c r="C48" s="14" t="inlineStr">
        <is>
          <t>Rayo</t>
        </is>
      </c>
      <c r="D48" s="14" t="inlineStr">
        <is>
          <t>Pikachu Rare</t>
        </is>
      </c>
      <c r="E48" s="14" t="inlineStr">
        <is>
          <t>Atsuko Nishida</t>
        </is>
      </c>
      <c r="F48" s="15" t="n"/>
      <c r="G48" s="18">
        <f>IFERROR(_xlfn.IMAGE("https://limitlesstcg.nyc3.cdn.digitaloceanspaces.com/tpci/30C/30C_047_R_EN_SM.png","047/128"),"Sin imagen")</f>
        <v/>
      </c>
    </row>
    <row r="49" ht="105" customHeight="1">
      <c r="A49" s="14" t="inlineStr">
        <is>
          <t>048/128</t>
        </is>
      </c>
      <c r="B49" s="14" t="inlineStr">
        <is>
          <t>Pikachu (26/30)</t>
        </is>
      </c>
      <c r="C49" s="14" t="inlineStr">
        <is>
          <t>Rayo</t>
        </is>
      </c>
      <c r="D49" s="14" t="inlineStr">
        <is>
          <t>Pikachu Rare</t>
        </is>
      </c>
      <c r="E49" s="14" t="inlineStr">
        <is>
          <t>KIYOTAKA OSHIYAMA</t>
        </is>
      </c>
      <c r="F49" s="15" t="n"/>
      <c r="G49" s="18">
        <f>IFERROR(_xlfn.IMAGE("https://limitlesstcg.nyc3.cdn.digitaloceanspaces.com/tpci/30C/30C_048_R_EN_SM.png","048/128"),"Sin imagen")</f>
        <v/>
      </c>
    </row>
    <row r="50" ht="105" customHeight="1">
      <c r="A50" s="14" t="inlineStr">
        <is>
          <t>049/128</t>
        </is>
      </c>
      <c r="B50" s="14" t="inlineStr">
        <is>
          <t>Pikachu (27/30)</t>
        </is>
      </c>
      <c r="C50" s="14" t="inlineStr">
        <is>
          <t>Rayo</t>
        </is>
      </c>
      <c r="D50" s="14" t="inlineStr">
        <is>
          <t>Pikachu Rare</t>
        </is>
      </c>
      <c r="E50" s="14" t="inlineStr">
        <is>
          <t>Nurikabe</t>
        </is>
      </c>
      <c r="F50" s="15" t="n"/>
      <c r="G50" s="18">
        <f>IFERROR(_xlfn.IMAGE("https://limitlesstcg.nyc3.cdn.digitaloceanspaces.com/tpci/30C/30C_049_R_EN_SM.png","049/128"),"Sin imagen")</f>
        <v/>
      </c>
    </row>
    <row r="51" ht="105" customHeight="1">
      <c r="A51" s="14" t="inlineStr">
        <is>
          <t>050/128</t>
        </is>
      </c>
      <c r="B51" s="14" t="inlineStr">
        <is>
          <t>Pikachu (28/30)</t>
        </is>
      </c>
      <c r="C51" s="14" t="inlineStr">
        <is>
          <t>Rayo</t>
        </is>
      </c>
      <c r="D51" s="14" t="inlineStr">
        <is>
          <t>Pikachu Rare</t>
        </is>
      </c>
      <c r="E51" s="14" t="inlineStr">
        <is>
          <t>Shimaris Yukichi</t>
        </is>
      </c>
      <c r="F51" s="15" t="n"/>
      <c r="G51" s="18">
        <f>IFERROR(_xlfn.IMAGE("https://limitlesstcg.nyc3.cdn.digitaloceanspaces.com/tpci/30C/30C_050_R_EN_SM.png","050/128"),"Sin imagen")</f>
        <v/>
      </c>
    </row>
    <row r="52" ht="105" customHeight="1">
      <c r="A52" s="14" t="inlineStr">
        <is>
          <t>051/128</t>
        </is>
      </c>
      <c r="B52" s="14" t="inlineStr">
        <is>
          <t>Pikachu (29/30)</t>
        </is>
      </c>
      <c r="C52" s="14" t="inlineStr">
        <is>
          <t>Rayo</t>
        </is>
      </c>
      <c r="D52" s="14" t="inlineStr">
        <is>
          <t>Pikachu Rare</t>
        </is>
      </c>
      <c r="E52" s="14" t="inlineStr">
        <is>
          <t>nagimiso</t>
        </is>
      </c>
      <c r="F52" s="15" t="n"/>
      <c r="G52" s="18">
        <f>IFERROR(_xlfn.IMAGE("https://limitlesstcg.nyc3.cdn.digitaloceanspaces.com/tpci/30C/30C_051_R_EN_SM.png","051/128"),"Sin imagen")</f>
        <v/>
      </c>
    </row>
    <row r="53" ht="105" customHeight="1">
      <c r="A53" s="14" t="inlineStr">
        <is>
          <t>052/128</t>
        </is>
      </c>
      <c r="B53" s="14" t="inlineStr">
        <is>
          <t>Pikachu (30/30)</t>
        </is>
      </c>
      <c r="C53" s="14" t="inlineStr">
        <is>
          <t>Rayo</t>
        </is>
      </c>
      <c r="D53" s="14" t="inlineStr">
        <is>
          <t>Pikachu Rare</t>
        </is>
      </c>
      <c r="E53" s="14" t="inlineStr">
        <is>
          <t>Kazuki Minami</t>
        </is>
      </c>
      <c r="F53" s="15" t="n"/>
      <c r="G53" s="18">
        <f>IFERROR(_xlfn.IMAGE("https://limitlesstcg.nyc3.cdn.digitaloceanspaces.com/tpci/30C/30C_052_R_EN_SM.png","052/128"),"Sin imagen")</f>
        <v/>
      </c>
    </row>
    <row r="54" ht="105" customHeight="1">
      <c r="A54" s="14" t="inlineStr">
        <is>
          <t>053/128</t>
        </is>
      </c>
      <c r="B54" s="14" t="inlineStr">
        <is>
          <t>Pikachu ex (día)</t>
        </is>
      </c>
      <c r="C54" s="14" t="inlineStr">
        <is>
          <t>Rayo</t>
        </is>
      </c>
      <c r="D54" s="14" t="inlineStr">
        <is>
          <t>Double Rare</t>
        </is>
      </c>
      <c r="E54" s="14" t="inlineStr">
        <is>
          <t>5ban Graphics</t>
        </is>
      </c>
      <c r="F54" s="15" t="n"/>
      <c r="G54" s="18">
        <f>IFERROR(_xlfn.IMAGE("https://limitlesstcg.nyc3.cdn.digitaloceanspaces.com/tpci/30C/30C_053_R_EN_SM.png","053/128"),"Sin imagen")</f>
        <v/>
      </c>
    </row>
    <row r="55" ht="105" customHeight="1">
      <c r="A55" s="14" t="inlineStr">
        <is>
          <t>054/128</t>
        </is>
      </c>
      <c r="B55" s="14" t="inlineStr">
        <is>
          <t>Pikachu ex (noche)</t>
        </is>
      </c>
      <c r="C55" s="14" t="inlineStr">
        <is>
          <t>Rayo</t>
        </is>
      </c>
      <c r="D55" s="14" t="inlineStr">
        <is>
          <t>Double Rare</t>
        </is>
      </c>
      <c r="E55" s="14" t="inlineStr">
        <is>
          <t>takuyoa</t>
        </is>
      </c>
      <c r="F55" s="15" t="n"/>
      <c r="G55" s="18">
        <f>IFERROR(_xlfn.IMAGE("https://limitlesstcg.nyc3.cdn.digitaloceanspaces.com/tpci/30C/30C_054_R_EN_SM.png","054/128"),"Sin imagen")</f>
        <v/>
      </c>
    </row>
    <row r="56" ht="105" customHeight="1">
      <c r="A56" s="14" t="inlineStr">
        <is>
          <t>055/128</t>
        </is>
      </c>
      <c r="B56" s="14" t="inlineStr">
        <is>
          <t>Zapdos</t>
        </is>
      </c>
      <c r="C56" s="14" t="inlineStr">
        <is>
          <t>Rayo</t>
        </is>
      </c>
      <c r="D56" s="14" t="inlineStr">
        <is>
          <t>Common</t>
        </is>
      </c>
      <c r="E56" s="14" t="inlineStr">
        <is>
          <t>HYOGONOSUKE</t>
        </is>
      </c>
      <c r="F56" s="15" t="n"/>
      <c r="G56" s="18">
        <f>IFERROR(_xlfn.IMAGE("https://limitlesstcg.nyc3.cdn.digitaloceanspaces.com/tpci/30C/30C_055_R_EN_SM.png","055/128"),"Sin imagen")</f>
        <v/>
      </c>
    </row>
    <row r="57" ht="105" customHeight="1">
      <c r="A57" s="14" t="inlineStr">
        <is>
          <t>056/128</t>
        </is>
      </c>
      <c r="B57" s="14" t="inlineStr">
        <is>
          <t>Zekrom</t>
        </is>
      </c>
      <c r="C57" s="14" t="inlineStr">
        <is>
          <t>Rayo</t>
        </is>
      </c>
      <c r="D57" s="14" t="inlineStr">
        <is>
          <t>Rare</t>
        </is>
      </c>
      <c r="E57" s="14" t="inlineStr">
        <is>
          <t>akagi</t>
        </is>
      </c>
      <c r="F57" s="15" t="n"/>
      <c r="G57" s="18">
        <f>IFERROR(_xlfn.IMAGE("https://limitlesstcg.nyc3.cdn.digitaloceanspaces.com/tpci/30C/30C_056_R_EN_SM.png","056/128"),"Sin imagen")</f>
        <v/>
      </c>
    </row>
    <row r="58" ht="105" customHeight="1">
      <c r="A58" s="14" t="inlineStr">
        <is>
          <t>057/128</t>
        </is>
      </c>
      <c r="B58" s="14" t="inlineStr">
        <is>
          <t>Zeraora</t>
        </is>
      </c>
      <c r="C58" s="14" t="inlineStr">
        <is>
          <t>Rayo</t>
        </is>
      </c>
      <c r="D58" s="14" t="inlineStr">
        <is>
          <t>Common</t>
        </is>
      </c>
      <c r="E58" s="14" t="inlineStr">
        <is>
          <t>Bun Toujo</t>
        </is>
      </c>
      <c r="F58" s="15" t="n"/>
      <c r="G58" s="18">
        <f>IFERROR(_xlfn.IMAGE("https://limitlesstcg.nyc3.cdn.digitaloceanspaces.com/tpci/30C/30C_057_R_EN_SM.png","057/128"),"Sin imagen")</f>
        <v/>
      </c>
    </row>
    <row r="59" ht="105" customHeight="1">
      <c r="A59" s="14" t="inlineStr">
        <is>
          <t>058/128</t>
        </is>
      </c>
      <c r="B59" s="14" t="inlineStr">
        <is>
          <t>Toxel</t>
        </is>
      </c>
      <c r="C59" s="14" t="inlineStr">
        <is>
          <t>Rayo</t>
        </is>
      </c>
      <c r="D59" s="14" t="inlineStr">
        <is>
          <t>Common</t>
        </is>
      </c>
      <c r="E59" s="14" t="inlineStr">
        <is>
          <t>Shimaris Yukichi</t>
        </is>
      </c>
      <c r="F59" s="15" t="n"/>
      <c r="G59" s="18">
        <f>IFERROR(_xlfn.IMAGE("https://limitlesstcg.nyc3.cdn.digitaloceanspaces.com/tpci/30C/30C_058_R_EN_SM.png","058/128"),"Sin imagen")</f>
        <v/>
      </c>
    </row>
    <row r="60" ht="105" customHeight="1">
      <c r="A60" s="14" t="inlineStr">
        <is>
          <t>059/128</t>
        </is>
      </c>
      <c r="B60" s="14" t="inlineStr">
        <is>
          <t>Toxtricity</t>
        </is>
      </c>
      <c r="C60" s="14" t="inlineStr">
        <is>
          <t>Rayo</t>
        </is>
      </c>
      <c r="D60" s="14" t="inlineStr">
        <is>
          <t>Common</t>
        </is>
      </c>
      <c r="E60" s="14" t="inlineStr">
        <is>
          <t>Haru Akasaka</t>
        </is>
      </c>
      <c r="F60" s="15" t="n"/>
      <c r="G60" s="18">
        <f>IFERROR(_xlfn.IMAGE("https://limitlesstcg.nyc3.cdn.digitaloceanspaces.com/tpci/30C/30C_059_R_EN_SM.png","059/128"),"Sin imagen")</f>
        <v/>
      </c>
    </row>
    <row r="61" ht="105" customHeight="1">
      <c r="A61" s="14" t="inlineStr">
        <is>
          <t>060/128</t>
        </is>
      </c>
      <c r="B61" s="14" t="inlineStr">
        <is>
          <t>Toxtricity</t>
        </is>
      </c>
      <c r="C61" s="14" t="inlineStr">
        <is>
          <t>Rayo</t>
        </is>
      </c>
      <c r="D61" s="14" t="inlineStr">
        <is>
          <t>Common</t>
        </is>
      </c>
      <c r="E61" s="14" t="inlineStr">
        <is>
          <t>Yuriko Akase</t>
        </is>
      </c>
      <c r="F61" s="15" t="n"/>
      <c r="G61" s="18">
        <f>IFERROR(_xlfn.IMAGE("https://limitlesstcg.nyc3.cdn.digitaloceanspaces.com/tpci/30C/30C_060_R_EN_SM.png","060/128"),"Sin imagen")</f>
        <v/>
      </c>
    </row>
    <row r="62" ht="105" customHeight="1">
      <c r="A62" s="14" t="inlineStr">
        <is>
          <t>061/128</t>
        </is>
      </c>
      <c r="B62" s="14" t="inlineStr">
        <is>
          <t>Morpeko</t>
        </is>
      </c>
      <c r="C62" s="14" t="inlineStr">
        <is>
          <t>Rayo</t>
        </is>
      </c>
      <c r="D62" s="14" t="inlineStr">
        <is>
          <t>Common</t>
        </is>
      </c>
      <c r="E62" s="14" t="inlineStr">
        <is>
          <t>Naoki Saito</t>
        </is>
      </c>
      <c r="F62" s="15" t="n"/>
      <c r="G62" s="18">
        <f>IFERROR(_xlfn.IMAGE("https://limitlesstcg.nyc3.cdn.digitaloceanspaces.com/tpci/30C/30C_061_R_EN_SM.png","061/128"),"Sin imagen")</f>
        <v/>
      </c>
    </row>
    <row r="63" ht="105" customHeight="1">
      <c r="A63" s="14" t="inlineStr">
        <is>
          <t>062/128</t>
        </is>
      </c>
      <c r="B63" s="14" t="inlineStr">
        <is>
          <t>Miraidon</t>
        </is>
      </c>
      <c r="C63" s="14" t="inlineStr">
        <is>
          <t>Rayo</t>
        </is>
      </c>
      <c r="D63" s="14" t="inlineStr">
        <is>
          <t>Rare</t>
        </is>
      </c>
      <c r="E63" s="14" t="inlineStr">
        <is>
          <t>Kazumasa Yasukuni</t>
        </is>
      </c>
      <c r="F63" s="15" t="n"/>
      <c r="G63" s="18">
        <f>IFERROR(_xlfn.IMAGE("https://limitlesstcg.nyc3.cdn.digitaloceanspaces.com/tpci/30C/30C_062_R_EN_SM.png","062/128"),"Sin imagen")</f>
        <v/>
      </c>
    </row>
    <row r="64" ht="105" customHeight="1">
      <c r="A64" s="14" t="inlineStr">
        <is>
          <t>063/128</t>
        </is>
      </c>
      <c r="B64" s="14" t="inlineStr">
        <is>
          <t>Mewtwo</t>
        </is>
      </c>
      <c r="C64" s="14" t="inlineStr">
        <is>
          <t>Psíquico</t>
        </is>
      </c>
      <c r="D64" s="14" t="inlineStr">
        <is>
          <t>Rare</t>
        </is>
      </c>
      <c r="E64" s="14" t="inlineStr">
        <is>
          <t>nagimiso</t>
        </is>
      </c>
      <c r="F64" s="15" t="n"/>
      <c r="G64" s="18">
        <f>IFERROR(_xlfn.IMAGE("https://limitlesstcg.nyc3.cdn.digitaloceanspaces.com/tpci/30C/30C_063_R_EN_SM.png","063/128"),"Sin imagen")</f>
        <v/>
      </c>
    </row>
    <row r="65" ht="105" customHeight="1">
      <c r="A65" s="14" t="inlineStr">
        <is>
          <t>064/128</t>
        </is>
      </c>
      <c r="B65" s="14" t="inlineStr">
        <is>
          <t>Mewtwo ex</t>
        </is>
      </c>
      <c r="C65" s="14" t="inlineStr">
        <is>
          <t>Psíquico</t>
        </is>
      </c>
      <c r="D65" s="14" t="inlineStr">
        <is>
          <t>Double Rare</t>
        </is>
      </c>
      <c r="E65" s="14" t="inlineStr">
        <is>
          <t>5ban Graphics</t>
        </is>
      </c>
      <c r="F65" s="15" t="n"/>
      <c r="G65" s="18">
        <f>IFERROR(_xlfn.IMAGE("https://limitlesstcg.nyc3.cdn.digitaloceanspaces.com/tpci/30C/30C_064_R_EN_SM.png","064/128"),"Sin imagen")</f>
        <v/>
      </c>
    </row>
    <row r="66" ht="105" customHeight="1">
      <c r="A66" s="14" t="inlineStr">
        <is>
          <t>065/128</t>
        </is>
      </c>
      <c r="B66" s="14" t="inlineStr">
        <is>
          <t>Mew</t>
        </is>
      </c>
      <c r="C66" s="14" t="inlineStr">
        <is>
          <t>Psíquico</t>
        </is>
      </c>
      <c r="D66" s="14" t="inlineStr">
        <is>
          <t>Rare</t>
        </is>
      </c>
      <c r="E66" s="14" t="inlineStr">
        <is>
          <t>danciao</t>
        </is>
      </c>
      <c r="F66" s="15" t="n"/>
      <c r="G66" s="18">
        <f>IFERROR(_xlfn.IMAGE("https://limitlesstcg.nyc3.cdn.digitaloceanspaces.com/tpci/30C/30C_065_R_EN_SM.png","065/128"),"Sin imagen")</f>
        <v/>
      </c>
    </row>
    <row r="67" ht="105" customHeight="1">
      <c r="A67" s="14" t="inlineStr">
        <is>
          <t>066/128</t>
        </is>
      </c>
      <c r="B67" s="14" t="inlineStr">
        <is>
          <t>Mew ex</t>
        </is>
      </c>
      <c r="C67" s="14" t="inlineStr">
        <is>
          <t>Psíquico</t>
        </is>
      </c>
      <c r="D67" s="14" t="inlineStr">
        <is>
          <t>Double Rare</t>
        </is>
      </c>
      <c r="E67" s="14" t="inlineStr">
        <is>
          <t>aky CG Works</t>
        </is>
      </c>
      <c r="F67" s="15" t="n"/>
      <c r="G67" s="18">
        <f>IFERROR(_xlfn.IMAGE("https://limitlesstcg.nyc3.cdn.digitaloceanspaces.com/tpci/30C/30C_066_R_EN_SM.png","066/128"),"Sin imagen")</f>
        <v/>
      </c>
    </row>
    <row r="68" ht="105" customHeight="1">
      <c r="A68" s="14" t="inlineStr">
        <is>
          <t>067/128</t>
        </is>
      </c>
      <c r="B68" s="14" t="inlineStr">
        <is>
          <t>Marill</t>
        </is>
      </c>
      <c r="C68" s="14" t="inlineStr">
        <is>
          <t>Psíquico</t>
        </is>
      </c>
      <c r="D68" s="14" t="inlineStr">
        <is>
          <t>Common</t>
        </is>
      </c>
      <c r="E68" s="14" t="inlineStr">
        <is>
          <t>Saya Tsuruta</t>
        </is>
      </c>
      <c r="F68" s="15" t="n"/>
      <c r="G68" s="18">
        <f>IFERROR(_xlfn.IMAGE("https://limitlesstcg.nyc3.cdn.digitaloceanspaces.com/tpci/30C/30C_067_R_EN_SM.png","067/128"),"Sin imagen")</f>
        <v/>
      </c>
    </row>
    <row r="69" ht="105" customHeight="1">
      <c r="A69" s="14" t="inlineStr">
        <is>
          <t>068/128</t>
        </is>
      </c>
      <c r="B69" s="14" t="inlineStr">
        <is>
          <t>Azumarill</t>
        </is>
      </c>
      <c r="C69" s="14" t="inlineStr">
        <is>
          <t>Psíquico</t>
        </is>
      </c>
      <c r="D69" s="14" t="inlineStr">
        <is>
          <t>Common</t>
        </is>
      </c>
      <c r="E69" s="14" t="inlineStr">
        <is>
          <t>Kagemaru Himeno</t>
        </is>
      </c>
      <c r="F69" s="15" t="n"/>
      <c r="G69" s="18">
        <f>IFERROR(_xlfn.IMAGE("https://limitlesstcg.nyc3.cdn.digitaloceanspaces.com/tpci/30C/30C_068_R_EN_SM.png","068/128"),"Sin imagen")</f>
        <v/>
      </c>
    </row>
    <row r="70" ht="105" customHeight="1">
      <c r="A70" s="14" t="inlineStr">
        <is>
          <t>069/128</t>
        </is>
      </c>
      <c r="B70" s="14" t="inlineStr">
        <is>
          <t>Espeon</t>
        </is>
      </c>
      <c r="C70" s="14" t="inlineStr">
        <is>
          <t>Psíquico</t>
        </is>
      </c>
      <c r="D70" s="14" t="inlineStr">
        <is>
          <t>Common</t>
        </is>
      </c>
      <c r="E70" s="14" t="inlineStr">
        <is>
          <t>aspara</t>
        </is>
      </c>
      <c r="F70" s="15" t="n"/>
      <c r="G70" s="18">
        <f>IFERROR(_xlfn.IMAGE("https://limitlesstcg.nyc3.cdn.digitaloceanspaces.com/tpci/30C/30C_069_R_EN_SM.png","069/128"),"Sin imagen")</f>
        <v/>
      </c>
    </row>
    <row r="71" ht="105" customHeight="1">
      <c r="A71" s="14" t="inlineStr">
        <is>
          <t>070/128</t>
        </is>
      </c>
      <c r="B71" s="14" t="inlineStr">
        <is>
          <t>Espeon ex</t>
        </is>
      </c>
      <c r="C71" s="14" t="inlineStr">
        <is>
          <t>Psíquico</t>
        </is>
      </c>
      <c r="D71" s="14" t="inlineStr">
        <is>
          <t>Double Rare</t>
        </is>
      </c>
      <c r="E71" s="14" t="inlineStr">
        <is>
          <t>5ban Graphics</t>
        </is>
      </c>
      <c r="F71" s="15" t="n"/>
      <c r="G71" s="18">
        <f>IFERROR(_xlfn.IMAGE("https://limitlesstcg.nyc3.cdn.digitaloceanspaces.com/tpci/30C/30C_070_R_EN_SM.png","070/128"),"Sin imagen")</f>
        <v/>
      </c>
    </row>
    <row r="72" ht="105" customHeight="1">
      <c r="A72" s="14" t="inlineStr">
        <is>
          <t>071/128</t>
        </is>
      </c>
      <c r="B72" s="14" t="inlineStr">
        <is>
          <t>Sylveon ex</t>
        </is>
      </c>
      <c r="C72" s="14" t="inlineStr">
        <is>
          <t>Psíquico</t>
        </is>
      </c>
      <c r="D72" s="14" t="inlineStr">
        <is>
          <t>Double Rare</t>
        </is>
      </c>
      <c r="E72" s="14" t="inlineStr">
        <is>
          <t>5ban Graphics</t>
        </is>
      </c>
      <c r="F72" s="15" t="n"/>
      <c r="G72" s="18">
        <f>IFERROR(_xlfn.IMAGE("https://limitlesstcg.nyc3.cdn.digitaloceanspaces.com/tpci/30C/30C_071_R_EN_SM.png","071/128"),"Sin imagen")</f>
        <v/>
      </c>
    </row>
    <row r="73" ht="105" customHeight="1">
      <c r="A73" s="14" t="inlineStr">
        <is>
          <t>072/128</t>
        </is>
      </c>
      <c r="B73" s="14" t="inlineStr">
        <is>
          <t>Unown</t>
        </is>
      </c>
      <c r="C73" s="14" t="inlineStr">
        <is>
          <t>Psíquico</t>
        </is>
      </c>
      <c r="D73" s="14" t="inlineStr">
        <is>
          <t>Common</t>
        </is>
      </c>
      <c r="E73" s="14" t="inlineStr">
        <is>
          <t>mingo</t>
        </is>
      </c>
      <c r="F73" s="15" t="n"/>
      <c r="G73" s="18">
        <f>IFERROR(_xlfn.IMAGE("https://limitlesstcg.nyc3.cdn.digitaloceanspaces.com/tpci/30C/30C_072_R_EN_SM.png","072/128"),"Sin imagen")</f>
        <v/>
      </c>
    </row>
    <row r="74" ht="105" customHeight="1">
      <c r="A74" s="14" t="inlineStr">
        <is>
          <t>073/128</t>
        </is>
      </c>
      <c r="B74" s="14" t="inlineStr">
        <is>
          <t>Drifloon</t>
        </is>
      </c>
      <c r="C74" s="14" t="inlineStr">
        <is>
          <t>Psíquico</t>
        </is>
      </c>
      <c r="D74" s="14" t="inlineStr">
        <is>
          <t>Common</t>
        </is>
      </c>
      <c r="E74" s="14" t="inlineStr">
        <is>
          <t>Shinya Komatsu</t>
        </is>
      </c>
      <c r="F74" s="15" t="n"/>
      <c r="G74" s="18">
        <f>IFERROR(_xlfn.IMAGE("https://limitlesstcg.nyc3.cdn.digitaloceanspaces.com/tpci/30C/30C_073_R_EN_SM.png","073/128"),"Sin imagen")</f>
        <v/>
      </c>
    </row>
    <row r="75" ht="105" customHeight="1">
      <c r="A75" s="14" t="inlineStr">
        <is>
          <t>074/128</t>
        </is>
      </c>
      <c r="B75" s="14" t="inlineStr">
        <is>
          <t>Cresselia</t>
        </is>
      </c>
      <c r="C75" s="14" t="inlineStr">
        <is>
          <t>Psíquico</t>
        </is>
      </c>
      <c r="D75" s="14" t="inlineStr">
        <is>
          <t>Common</t>
        </is>
      </c>
      <c r="E75" s="14" t="inlineStr">
        <is>
          <t>KEIICHIRO ITO</t>
        </is>
      </c>
      <c r="F75" s="15" t="n"/>
      <c r="G75" s="18">
        <f>IFERROR(_xlfn.IMAGE("https://limitlesstcg.nyc3.cdn.digitaloceanspaces.com/tpci/30C/30C_074_R_EN_SM.png","074/128"),"Sin imagen")</f>
        <v/>
      </c>
    </row>
    <row r="76" ht="105" customHeight="1">
      <c r="A76" s="14" t="inlineStr">
        <is>
          <t>075/128</t>
        </is>
      </c>
      <c r="B76" s="14" t="inlineStr">
        <is>
          <t>Chandelure</t>
        </is>
      </c>
      <c r="C76" s="14" t="inlineStr">
        <is>
          <t>Psíquico</t>
        </is>
      </c>
      <c r="D76" s="14" t="inlineStr">
        <is>
          <t>Common</t>
        </is>
      </c>
      <c r="E76" s="14" t="inlineStr">
        <is>
          <t>Yoshioka</t>
        </is>
      </c>
      <c r="F76" s="15" t="n"/>
      <c r="G76" s="18">
        <f>IFERROR(_xlfn.IMAGE("https://limitlesstcg.nyc3.cdn.digitaloceanspaces.com/tpci/30C/30C_075_R_EN_SM.png","075/128"),"Sin imagen")</f>
        <v/>
      </c>
    </row>
    <row r="77" ht="105" customHeight="1">
      <c r="A77" s="14" t="inlineStr">
        <is>
          <t>076/128</t>
        </is>
      </c>
      <c r="B77" s="14" t="inlineStr">
        <is>
          <t>Xerneas</t>
        </is>
      </c>
      <c r="C77" s="14" t="inlineStr">
        <is>
          <t>Psíquico</t>
        </is>
      </c>
      <c r="D77" s="14" t="inlineStr">
        <is>
          <t>Rare</t>
        </is>
      </c>
      <c r="E77" s="14" t="inlineStr">
        <is>
          <t>kodama</t>
        </is>
      </c>
      <c r="F77" s="15" t="n"/>
      <c r="G77" s="18">
        <f>IFERROR(_xlfn.IMAGE("https://limitlesstcg.nyc3.cdn.digitaloceanspaces.com/tpci/30C/30C_076_R_EN_SM.png","076/128"),"Sin imagen")</f>
        <v/>
      </c>
    </row>
    <row r="78" ht="105" customHeight="1">
      <c r="A78" s="14" t="inlineStr">
        <is>
          <t>077/128</t>
        </is>
      </c>
      <c r="B78" s="14" t="inlineStr">
        <is>
          <t>Comfey</t>
        </is>
      </c>
      <c r="C78" s="14" t="inlineStr">
        <is>
          <t>Psíquico</t>
        </is>
      </c>
      <c r="D78" s="14" t="inlineStr">
        <is>
          <t>Common</t>
        </is>
      </c>
      <c r="E78" s="14" t="inlineStr">
        <is>
          <t>sui</t>
        </is>
      </c>
      <c r="F78" s="15" t="n"/>
      <c r="G78" s="18">
        <f>IFERROR(_xlfn.IMAGE("https://limitlesstcg.nyc3.cdn.digitaloceanspaces.com/tpci/30C/30C_077_R_EN_SM.png","077/128"),"Sin imagen")</f>
        <v/>
      </c>
    </row>
    <row r="79" ht="105" customHeight="1">
      <c r="A79" s="14" t="inlineStr">
        <is>
          <t>078/128</t>
        </is>
      </c>
      <c r="B79" s="14" t="inlineStr">
        <is>
          <t>Cosmog</t>
        </is>
      </c>
      <c r="C79" s="14" t="inlineStr">
        <is>
          <t>Psíquico</t>
        </is>
      </c>
      <c r="D79" s="14" t="inlineStr">
        <is>
          <t>Common</t>
        </is>
      </c>
      <c r="E79" s="14" t="inlineStr">
        <is>
          <t>Mina Nakai</t>
        </is>
      </c>
      <c r="F79" s="15" t="n"/>
      <c r="G79" s="18">
        <f>IFERROR(_xlfn.IMAGE("https://limitlesstcg.nyc3.cdn.digitaloceanspaces.com/tpci/30C/30C_078_R_EN_SM.png","078/128"),"Sin imagen")</f>
        <v/>
      </c>
    </row>
    <row r="80" ht="105" customHeight="1">
      <c r="A80" s="14" t="inlineStr">
        <is>
          <t>079/128</t>
        </is>
      </c>
      <c r="B80" s="14" t="inlineStr">
        <is>
          <t>Cosmoem</t>
        </is>
      </c>
      <c r="C80" s="14" t="inlineStr">
        <is>
          <t>Psíquico</t>
        </is>
      </c>
      <c r="D80" s="14" t="inlineStr">
        <is>
          <t>Common</t>
        </is>
      </c>
      <c r="E80" s="14" t="inlineStr">
        <is>
          <t>Masako Tomii</t>
        </is>
      </c>
      <c r="F80" s="15" t="n"/>
      <c r="G80" s="18">
        <f>IFERROR(_xlfn.IMAGE("https://limitlesstcg.nyc3.cdn.digitaloceanspaces.com/tpci/30C/30C_079_R_EN_SM.png","079/128"),"Sin imagen")</f>
        <v/>
      </c>
    </row>
    <row r="81" ht="105" customHeight="1">
      <c r="A81" s="14" t="inlineStr">
        <is>
          <t>080/128</t>
        </is>
      </c>
      <c r="B81" s="14" t="inlineStr">
        <is>
          <t>Lunala</t>
        </is>
      </c>
      <c r="C81" s="14" t="inlineStr">
        <is>
          <t>Psíquico</t>
        </is>
      </c>
      <c r="D81" s="14" t="inlineStr">
        <is>
          <t>Rare</t>
        </is>
      </c>
      <c r="E81" s="14" t="inlineStr">
        <is>
          <t>Bun Toujo</t>
        </is>
      </c>
      <c r="F81" s="15" t="n"/>
      <c r="G81" s="18">
        <f>IFERROR(_xlfn.IMAGE("https://limitlesstcg.nyc3.cdn.digitaloceanspaces.com/tpci/30C/30C_080_R_EN_SM.png","080/128"),"Sin imagen")</f>
        <v/>
      </c>
    </row>
    <row r="82" ht="105" customHeight="1">
      <c r="A82" s="14" t="inlineStr">
        <is>
          <t>081/128</t>
        </is>
      </c>
      <c r="B82" s="14" t="inlineStr">
        <is>
          <t>Gimmighoul</t>
        </is>
      </c>
      <c r="C82" s="14" t="inlineStr">
        <is>
          <t>Psíquico</t>
        </is>
      </c>
      <c r="D82" s="14" t="inlineStr">
        <is>
          <t>Common</t>
        </is>
      </c>
      <c r="E82" s="14" t="inlineStr">
        <is>
          <t>Fujimoto Gold</t>
        </is>
      </c>
      <c r="F82" s="15" t="n"/>
      <c r="G82" s="18">
        <f>IFERROR(_xlfn.IMAGE("https://limitlesstcg.nyc3.cdn.digitaloceanspaces.com/tpci/30C/30C_081_R_EN_SM.png","081/128"),"Sin imagen")</f>
        <v/>
      </c>
    </row>
    <row r="83" ht="105" customHeight="1">
      <c r="A83" s="14" t="inlineStr">
        <is>
          <t>082/128</t>
        </is>
      </c>
      <c r="B83" s="14" t="inlineStr">
        <is>
          <t>Groudon</t>
        </is>
      </c>
      <c r="C83" s="14" t="inlineStr">
        <is>
          <t>Lucha</t>
        </is>
      </c>
      <c r="D83" s="14" t="inlineStr">
        <is>
          <t>Rare</t>
        </is>
      </c>
      <c r="E83" s="14" t="inlineStr">
        <is>
          <t>Takumi Wada</t>
        </is>
      </c>
      <c r="F83" s="15" t="n"/>
      <c r="G83" s="18">
        <f>IFERROR(_xlfn.IMAGE("https://limitlesstcg.nyc3.cdn.digitaloceanspaces.com/tpci/30C/30C_082_R_EN_SM.png","082/128"),"Sin imagen")</f>
        <v/>
      </c>
    </row>
    <row r="84" ht="105" customHeight="1">
      <c r="A84" s="14" t="inlineStr">
        <is>
          <t>083/128</t>
        </is>
      </c>
      <c r="B84" s="14" t="inlineStr">
        <is>
          <t>Lucario</t>
        </is>
      </c>
      <c r="C84" s="14" t="inlineStr">
        <is>
          <t>Lucha</t>
        </is>
      </c>
      <c r="D84" s="14" t="inlineStr">
        <is>
          <t>Common</t>
        </is>
      </c>
      <c r="E84" s="14" t="inlineStr">
        <is>
          <t>Hideki Ishikawa</t>
        </is>
      </c>
      <c r="F84" s="15" t="n"/>
      <c r="G84" s="18">
        <f>IFERROR(_xlfn.IMAGE("https://limitlesstcg.nyc3.cdn.digitaloceanspaces.com/tpci/30C/30C_083_R_EN_SM.png","083/128"),"Sin imagen")</f>
        <v/>
      </c>
    </row>
    <row r="85" ht="105" customHeight="1">
      <c r="A85" s="14" t="inlineStr">
        <is>
          <t>084/128</t>
        </is>
      </c>
      <c r="B85" s="14" t="inlineStr">
        <is>
          <t>Seismitoad</t>
        </is>
      </c>
      <c r="C85" s="14" t="inlineStr">
        <is>
          <t>Lucha</t>
        </is>
      </c>
      <c r="D85" s="14" t="inlineStr">
        <is>
          <t>Common</t>
        </is>
      </c>
      <c r="E85" s="14" t="inlineStr">
        <is>
          <t>Kurata So</t>
        </is>
      </c>
      <c r="F85" s="15" t="n"/>
      <c r="G85" s="18">
        <f>IFERROR(_xlfn.IMAGE("https://limitlesstcg.nyc3.cdn.digitaloceanspaces.com/tpci/30C/30C_084_R_EN_SM.png","084/128"),"Sin imagen")</f>
        <v/>
      </c>
    </row>
    <row r="86" ht="105" customHeight="1">
      <c r="A86" s="14" t="inlineStr">
        <is>
          <t>085/128</t>
        </is>
      </c>
      <c r="B86" s="14" t="inlineStr">
        <is>
          <t>Lycanroc</t>
        </is>
      </c>
      <c r="C86" s="14" t="inlineStr">
        <is>
          <t>Lucha</t>
        </is>
      </c>
      <c r="D86" s="14" t="inlineStr">
        <is>
          <t>Common</t>
        </is>
      </c>
      <c r="E86" s="14" t="inlineStr">
        <is>
          <t>matazo</t>
        </is>
      </c>
      <c r="F86" s="15" t="n"/>
      <c r="G86" s="18">
        <f>IFERROR(_xlfn.IMAGE("https://limitlesstcg.nyc3.cdn.digitaloceanspaces.com/tpci/30C/30C_085_R_EN_SM.png","085/128"),"Sin imagen")</f>
        <v/>
      </c>
    </row>
    <row r="87" ht="105" customHeight="1">
      <c r="A87" s="14" t="inlineStr">
        <is>
          <t>086/128</t>
        </is>
      </c>
      <c r="B87" s="14" t="inlineStr">
        <is>
          <t>Koraidon</t>
        </is>
      </c>
      <c r="C87" s="14" t="inlineStr">
        <is>
          <t>Lucha</t>
        </is>
      </c>
      <c r="D87" s="14" t="inlineStr">
        <is>
          <t>Rare</t>
        </is>
      </c>
      <c r="E87" s="14" t="inlineStr">
        <is>
          <t>Mitsuhiro Arita</t>
        </is>
      </c>
      <c r="F87" s="15" t="n"/>
      <c r="G87" s="18">
        <f>IFERROR(_xlfn.IMAGE("https://limitlesstcg.nyc3.cdn.digitaloceanspaces.com/tpci/30C/30C_086_R_EN_SM.png","086/128"),"Sin imagen")</f>
        <v/>
      </c>
    </row>
    <row r="88" ht="105" customHeight="1">
      <c r="A88" s="14" t="inlineStr">
        <is>
          <t>087/128</t>
        </is>
      </c>
      <c r="B88" s="14" t="inlineStr">
        <is>
          <t>Nidoran♀</t>
        </is>
      </c>
      <c r="C88" s="14" t="inlineStr">
        <is>
          <t>Oscuridad</t>
        </is>
      </c>
      <c r="D88" s="14" t="inlineStr">
        <is>
          <t>Common</t>
        </is>
      </c>
      <c r="E88" s="14" t="inlineStr">
        <is>
          <t>Taira Akitsu</t>
        </is>
      </c>
      <c r="F88" s="15" t="n"/>
      <c r="G88" s="18">
        <f>IFERROR(_xlfn.IMAGE("https://limitlesstcg.nyc3.cdn.digitaloceanspaces.com/tpci/30C/30C_087_R_EN_SM.png","087/128"),"Sin imagen")</f>
        <v/>
      </c>
    </row>
    <row r="89" ht="105" customHeight="1">
      <c r="A89" s="14" t="inlineStr">
        <is>
          <t>088/128</t>
        </is>
      </c>
      <c r="B89" s="14" t="inlineStr">
        <is>
          <t>Nidorina</t>
        </is>
      </c>
      <c r="C89" s="14" t="inlineStr">
        <is>
          <t>Oscuridad</t>
        </is>
      </c>
      <c r="D89" s="14" t="inlineStr">
        <is>
          <t>Common</t>
        </is>
      </c>
      <c r="E89" s="14" t="inlineStr">
        <is>
          <t>Miki Tanaka</t>
        </is>
      </c>
      <c r="F89" s="15" t="n"/>
      <c r="G89" s="18">
        <f>IFERROR(_xlfn.IMAGE("https://limitlesstcg.nyc3.cdn.digitaloceanspaces.com/tpci/30C/30C_088_R_EN_SM.png","088/128"),"Sin imagen")</f>
        <v/>
      </c>
    </row>
    <row r="90" ht="105" customHeight="1">
      <c r="A90" s="14" t="inlineStr">
        <is>
          <t>089/128</t>
        </is>
      </c>
      <c r="B90" s="14" t="inlineStr">
        <is>
          <t>Alolan Meowth</t>
        </is>
      </c>
      <c r="C90" s="14" t="inlineStr">
        <is>
          <t>Oscuridad</t>
        </is>
      </c>
      <c r="D90" s="14" t="inlineStr">
        <is>
          <t>Common</t>
        </is>
      </c>
      <c r="E90" s="14" t="inlineStr">
        <is>
          <t>Natsumi Yoshida</t>
        </is>
      </c>
      <c r="F90" s="15" t="n"/>
      <c r="G90" s="18">
        <f>IFERROR(_xlfn.IMAGE("https://limitlesstcg.nyc3.cdn.digitaloceanspaces.com/tpci/30C/30C_089_R_EN_SM.png","089/128"),"Sin imagen")</f>
        <v/>
      </c>
    </row>
    <row r="91" ht="105" customHeight="1">
      <c r="A91" s="14" t="inlineStr">
        <is>
          <t>090/128</t>
        </is>
      </c>
      <c r="B91" s="14" t="inlineStr">
        <is>
          <t>Gengar ex</t>
        </is>
      </c>
      <c r="C91" s="14" t="inlineStr">
        <is>
          <t>Oscuridad</t>
        </is>
      </c>
      <c r="D91" s="14" t="inlineStr">
        <is>
          <t>Double Rare</t>
        </is>
      </c>
      <c r="E91" s="14" t="inlineStr">
        <is>
          <t>5ban Graphics</t>
        </is>
      </c>
      <c r="F91" s="15" t="n"/>
      <c r="G91" s="18">
        <f>IFERROR(_xlfn.IMAGE("https://limitlesstcg.nyc3.cdn.digitaloceanspaces.com/tpci/30C/30C_090_R_EN_SM.png","090/128"),"Sin imagen")</f>
        <v/>
      </c>
    </row>
    <row r="92" ht="105" customHeight="1">
      <c r="A92" s="14" t="inlineStr">
        <is>
          <t>091/128</t>
        </is>
      </c>
      <c r="B92" s="14" t="inlineStr">
        <is>
          <t>Umbreon</t>
        </is>
      </c>
      <c r="C92" s="14" t="inlineStr">
        <is>
          <t>Oscuridad</t>
        </is>
      </c>
      <c r="D92" s="14" t="inlineStr">
        <is>
          <t>Common</t>
        </is>
      </c>
      <c r="E92" s="14" t="inlineStr">
        <is>
          <t>Iori Suzuki</t>
        </is>
      </c>
      <c r="F92" s="15" t="n"/>
      <c r="G92" s="18">
        <f>IFERROR(_xlfn.IMAGE("https://limitlesstcg.nyc3.cdn.digitaloceanspaces.com/tpci/30C/30C_091_R_EN_SM.png","091/128"),"Sin imagen")</f>
        <v/>
      </c>
    </row>
    <row r="93" ht="105" customHeight="1">
      <c r="A93" s="14" t="inlineStr">
        <is>
          <t>092/128</t>
        </is>
      </c>
      <c r="B93" s="14" t="inlineStr">
        <is>
          <t>Umbreon ex</t>
        </is>
      </c>
      <c r="C93" s="14" t="inlineStr">
        <is>
          <t>Oscuridad</t>
        </is>
      </c>
      <c r="D93" s="14" t="inlineStr">
        <is>
          <t>Double Rare</t>
        </is>
      </c>
      <c r="E93" s="14" t="n"/>
      <c r="F93" s="15" t="n"/>
      <c r="G93" s="18">
        <f>IFERROR(_xlfn.IMAGE("https://limitlesstcg.nyc3.cdn.digitaloceanspaces.com/tpci/30C/30C_092_R_EN_SM.png","092/128"),"Sin imagen")</f>
        <v/>
      </c>
    </row>
    <row r="94" ht="105" customHeight="1">
      <c r="A94" s="14" t="inlineStr">
        <is>
          <t>093/128</t>
        </is>
      </c>
      <c r="B94" s="14" t="inlineStr">
        <is>
          <t>Murkrow</t>
        </is>
      </c>
      <c r="C94" s="14" t="inlineStr">
        <is>
          <t>Oscuridad</t>
        </is>
      </c>
      <c r="D94" s="14" t="inlineStr">
        <is>
          <t>Common</t>
        </is>
      </c>
      <c r="E94" s="14" t="inlineStr">
        <is>
          <t>Kouki Saitou</t>
        </is>
      </c>
      <c r="F94" s="15" t="n"/>
      <c r="G94" s="18">
        <f>IFERROR(_xlfn.IMAGE("https://limitlesstcg.nyc3.cdn.digitaloceanspaces.com/tpci/30C/30C_093_R_EN_SM.png","093/128"),"Sin imagen")</f>
        <v/>
      </c>
    </row>
    <row r="95" ht="105" customHeight="1">
      <c r="A95" s="14" t="inlineStr">
        <is>
          <t>094/128</t>
        </is>
      </c>
      <c r="B95" s="14" t="inlineStr">
        <is>
          <t>Scraggy</t>
        </is>
      </c>
      <c r="C95" s="14" t="inlineStr">
        <is>
          <t>Oscuridad</t>
        </is>
      </c>
      <c r="D95" s="14" t="inlineStr">
        <is>
          <t>Common</t>
        </is>
      </c>
      <c r="E95" s="14" t="inlineStr">
        <is>
          <t>Souichirou Gunjima</t>
        </is>
      </c>
      <c r="F95" s="15" t="n"/>
      <c r="G95" s="18">
        <f>IFERROR(_xlfn.IMAGE("https://limitlesstcg.nyc3.cdn.digitaloceanspaces.com/tpci/30C/30C_094_R_EN_SM.png","094/128"),"Sin imagen")</f>
        <v/>
      </c>
    </row>
    <row r="96" ht="105" customHeight="1">
      <c r="A96" s="14" t="inlineStr">
        <is>
          <t>095/128</t>
        </is>
      </c>
      <c r="B96" s="14" t="inlineStr">
        <is>
          <t>Zorua</t>
        </is>
      </c>
      <c r="C96" s="14" t="inlineStr">
        <is>
          <t>Oscuridad</t>
        </is>
      </c>
      <c r="D96" s="14" t="inlineStr">
        <is>
          <t>Common</t>
        </is>
      </c>
      <c r="E96" s="14" t="inlineStr">
        <is>
          <t>Atsuya Uki</t>
        </is>
      </c>
      <c r="F96" s="15" t="n"/>
      <c r="G96" s="18">
        <f>IFERROR(_xlfn.IMAGE("https://limitlesstcg.nyc3.cdn.digitaloceanspaces.com/tpci/30C/30C_095_R_EN_SM.png","095/128"),"Sin imagen")</f>
        <v/>
      </c>
    </row>
    <row r="97" ht="105" customHeight="1">
      <c r="A97" s="14" t="inlineStr">
        <is>
          <t>096/128</t>
        </is>
      </c>
      <c r="B97" s="14" t="inlineStr">
        <is>
          <t>Zoroark</t>
        </is>
      </c>
      <c r="C97" s="14" t="inlineStr">
        <is>
          <t>Oscuridad</t>
        </is>
      </c>
      <c r="D97" s="14" t="inlineStr">
        <is>
          <t>Common</t>
        </is>
      </c>
      <c r="E97" s="14" t="inlineStr">
        <is>
          <t>Shiburingaru</t>
        </is>
      </c>
      <c r="F97" s="15" t="n"/>
      <c r="G97" s="18">
        <f>IFERROR(_xlfn.IMAGE("https://limitlesstcg.nyc3.cdn.digitaloceanspaces.com/tpci/30C/30C_096_R_EN_SM.png","096/128"),"Sin imagen")</f>
        <v/>
      </c>
    </row>
    <row r="98" ht="105" customHeight="1">
      <c r="A98" s="14" t="inlineStr">
        <is>
          <t>097/128</t>
        </is>
      </c>
      <c r="B98" s="14" t="inlineStr">
        <is>
          <t>Deino</t>
        </is>
      </c>
      <c r="C98" s="14" t="inlineStr">
        <is>
          <t>Oscuridad</t>
        </is>
      </c>
      <c r="D98" s="14" t="inlineStr">
        <is>
          <t>Common</t>
        </is>
      </c>
      <c r="E98" s="14" t="inlineStr">
        <is>
          <t>Gapao</t>
        </is>
      </c>
      <c r="F98" s="15" t="n"/>
      <c r="G98" s="18">
        <f>IFERROR(_xlfn.IMAGE("https://limitlesstcg.nyc3.cdn.digitaloceanspaces.com/tpci/30C/30C_097_R_EN_SM.png","097/128"),"Sin imagen")</f>
        <v/>
      </c>
    </row>
    <row r="99" ht="105" customHeight="1">
      <c r="A99" s="14" t="inlineStr">
        <is>
          <t>098/128</t>
        </is>
      </c>
      <c r="B99" s="14" t="inlineStr">
        <is>
          <t>Zweilous</t>
        </is>
      </c>
      <c r="C99" s="14" t="inlineStr">
        <is>
          <t>Oscuridad</t>
        </is>
      </c>
      <c r="D99" s="14" t="inlineStr">
        <is>
          <t>Common</t>
        </is>
      </c>
      <c r="E99" s="14" t="inlineStr">
        <is>
          <t>IKEDA Saki</t>
        </is>
      </c>
      <c r="F99" s="15" t="n"/>
      <c r="G99" s="18">
        <f>IFERROR(_xlfn.IMAGE("https://limitlesstcg.nyc3.cdn.digitaloceanspaces.com/tpci/30C/30C_098_R_EN_SM.png","098/128"),"Sin imagen")</f>
        <v/>
      </c>
    </row>
    <row r="100" ht="105" customHeight="1">
      <c r="A100" s="14" t="inlineStr">
        <is>
          <t>099/128</t>
        </is>
      </c>
      <c r="B100" s="14" t="inlineStr">
        <is>
          <t>Hydreigon</t>
        </is>
      </c>
      <c r="C100" s="14" t="inlineStr">
        <is>
          <t>Oscuridad</t>
        </is>
      </c>
      <c r="D100" s="14" t="inlineStr">
        <is>
          <t>Common</t>
        </is>
      </c>
      <c r="E100" s="14" t="inlineStr">
        <is>
          <t>Ryuta Fuse</t>
        </is>
      </c>
      <c r="F100" s="15" t="n"/>
      <c r="G100" s="18">
        <f>IFERROR(_xlfn.IMAGE("https://limitlesstcg.nyc3.cdn.digitaloceanspaces.com/tpci/30C/30C_099_R_EN_SM.png","099/128"),"Sin imagen")</f>
        <v/>
      </c>
    </row>
    <row r="101" ht="105" customHeight="1">
      <c r="A101" s="14" t="inlineStr">
        <is>
          <t>100/128</t>
        </is>
      </c>
      <c r="B101" s="14" t="inlineStr">
        <is>
          <t>Yveltal</t>
        </is>
      </c>
      <c r="C101" s="14" t="inlineStr">
        <is>
          <t>Oscuridad</t>
        </is>
      </c>
      <c r="D101" s="14" t="inlineStr">
        <is>
          <t>Rare</t>
        </is>
      </c>
      <c r="E101" s="14" t="inlineStr">
        <is>
          <t>hncl</t>
        </is>
      </c>
      <c r="F101" s="15" t="n"/>
      <c r="G101" s="18">
        <f>IFERROR(_xlfn.IMAGE("https://limitlesstcg.nyc3.cdn.digitaloceanspaces.com/tpci/30C/30C_100_R_EN_SM.png","100/128"),"Sin imagen")</f>
        <v/>
      </c>
    </row>
    <row r="102" ht="105" customHeight="1">
      <c r="A102" s="14" t="inlineStr">
        <is>
          <t>101/128</t>
        </is>
      </c>
      <c r="B102" s="14" t="inlineStr">
        <is>
          <t>Galarian Meowth</t>
        </is>
      </c>
      <c r="C102" s="14" t="inlineStr">
        <is>
          <t>Metal</t>
        </is>
      </c>
      <c r="D102" s="14" t="inlineStr">
        <is>
          <t>Common</t>
        </is>
      </c>
      <c r="E102" s="14" t="inlineStr">
        <is>
          <t>Mékayu</t>
        </is>
      </c>
      <c r="F102" s="15" t="n"/>
      <c r="G102" s="18">
        <f>IFERROR(_xlfn.IMAGE("https://limitlesstcg.nyc3.cdn.digitaloceanspaces.com/tpci/30C/30C_101_R_EN_SM.png","101/128"),"Sin imagen")</f>
        <v/>
      </c>
    </row>
    <row r="103" ht="105" customHeight="1">
      <c r="A103" s="14" t="inlineStr">
        <is>
          <t>102/128</t>
        </is>
      </c>
      <c r="B103" s="14" t="inlineStr">
        <is>
          <t>Jirachi ex</t>
        </is>
      </c>
      <c r="C103" s="14" t="inlineStr">
        <is>
          <t>Metal</t>
        </is>
      </c>
      <c r="D103" s="14" t="inlineStr">
        <is>
          <t>Double Rare</t>
        </is>
      </c>
      <c r="E103" s="14" t="inlineStr">
        <is>
          <t>5ban Graphics</t>
        </is>
      </c>
      <c r="F103" s="15" t="n"/>
      <c r="G103" s="18">
        <f>IFERROR(_xlfn.IMAGE("https://limitlesstcg.nyc3.cdn.digitaloceanspaces.com/tpci/30C/30C_102_R_EN_SM.png","102/128"),"Sin imagen")</f>
        <v/>
      </c>
    </row>
    <row r="104" ht="105" customHeight="1">
      <c r="A104" s="14" t="inlineStr">
        <is>
          <t>103/128</t>
        </is>
      </c>
      <c r="B104" s="14" t="inlineStr">
        <is>
          <t>Dialga</t>
        </is>
      </c>
      <c r="C104" s="14" t="inlineStr">
        <is>
          <t>Metal</t>
        </is>
      </c>
      <c r="D104" s="14" t="inlineStr">
        <is>
          <t>Rare</t>
        </is>
      </c>
      <c r="E104" s="14" t="inlineStr">
        <is>
          <t>toriyufu</t>
        </is>
      </c>
      <c r="F104" s="15" t="n"/>
      <c r="G104" s="18">
        <f>IFERROR(_xlfn.IMAGE("https://limitlesstcg.nyc3.cdn.digitaloceanspaces.com/tpci/30C/30C_103_R_EN_SM.png","103/128"),"Sin imagen")</f>
        <v/>
      </c>
    </row>
    <row r="105" ht="105" customHeight="1">
      <c r="A105" s="14" t="inlineStr">
        <is>
          <t>104/128</t>
        </is>
      </c>
      <c r="B105" s="14" t="inlineStr">
        <is>
          <t>Ferrothorn</t>
        </is>
      </c>
      <c r="C105" s="14" t="inlineStr">
        <is>
          <t>Metal</t>
        </is>
      </c>
      <c r="D105" s="14" t="inlineStr">
        <is>
          <t>Common</t>
        </is>
      </c>
      <c r="E105" s="14" t="inlineStr">
        <is>
          <t>Po-Suzuki</t>
        </is>
      </c>
      <c r="F105" s="15" t="n"/>
      <c r="G105" s="18">
        <f>IFERROR(_xlfn.IMAGE("https://limitlesstcg.nyc3.cdn.digitaloceanspaces.com/tpci/30C/30C_104_R_EN_SM.png","104/128"),"Sin imagen")</f>
        <v/>
      </c>
    </row>
    <row r="106" ht="105" customHeight="1">
      <c r="A106" s="14" t="inlineStr">
        <is>
          <t>105/128</t>
        </is>
      </c>
      <c r="B106" s="14" t="inlineStr">
        <is>
          <t>Solgaleo</t>
        </is>
      </c>
      <c r="C106" s="14" t="inlineStr">
        <is>
          <t>Metal</t>
        </is>
      </c>
      <c r="D106" s="14" t="inlineStr">
        <is>
          <t>Rare</t>
        </is>
      </c>
      <c r="E106" s="14" t="inlineStr">
        <is>
          <t>Nurikabe</t>
        </is>
      </c>
      <c r="F106" s="15" t="n"/>
      <c r="G106" s="18">
        <f>IFERROR(_xlfn.IMAGE("https://limitlesstcg.nyc3.cdn.digitaloceanspaces.com/tpci/30C/30C_105_R_EN_SM.png","105/128"),"Sin imagen")</f>
        <v/>
      </c>
    </row>
    <row r="107" ht="105" customHeight="1">
      <c r="A107" s="14" t="inlineStr">
        <is>
          <t>106/128</t>
        </is>
      </c>
      <c r="B107" s="14" t="inlineStr">
        <is>
          <t>Zacian</t>
        </is>
      </c>
      <c r="C107" s="14" t="inlineStr">
        <is>
          <t>Metal</t>
        </is>
      </c>
      <c r="D107" s="14" t="inlineStr">
        <is>
          <t>Rare</t>
        </is>
      </c>
      <c r="E107" s="14" t="inlineStr">
        <is>
          <t>AKIRA EGAWA</t>
        </is>
      </c>
      <c r="F107" s="15" t="n"/>
      <c r="G107" s="18">
        <f>IFERROR(_xlfn.IMAGE("https://limitlesstcg.nyc3.cdn.digitaloceanspaces.com/tpci/30C/30C_106_R_EN_SM.png","106/128"),"Sin imagen")</f>
        <v/>
      </c>
    </row>
    <row r="108" ht="105" customHeight="1">
      <c r="A108" s="14" t="inlineStr">
        <is>
          <t>107/128</t>
        </is>
      </c>
      <c r="B108" s="14" t="inlineStr">
        <is>
          <t>Zamazenta</t>
        </is>
      </c>
      <c r="C108" s="14" t="inlineStr">
        <is>
          <t>Metal</t>
        </is>
      </c>
      <c r="D108" s="14" t="inlineStr">
        <is>
          <t>Rare</t>
        </is>
      </c>
      <c r="E108" s="14" t="inlineStr">
        <is>
          <t>Tsuyoshi Nagano</t>
        </is>
      </c>
      <c r="F108" s="15" t="n"/>
      <c r="G108" s="18">
        <f>IFERROR(_xlfn.IMAGE("https://limitlesstcg.nyc3.cdn.digitaloceanspaces.com/tpci/30C/30C_107_R_EN_SM.png","107/128"),"Sin imagen")</f>
        <v/>
      </c>
    </row>
    <row r="109" ht="105" customHeight="1">
      <c r="A109" s="14" t="inlineStr">
        <is>
          <t>108/128</t>
        </is>
      </c>
      <c r="B109" s="14" t="inlineStr">
        <is>
          <t>Gholdengo</t>
        </is>
      </c>
      <c r="C109" s="14" t="inlineStr">
        <is>
          <t>Metal</t>
        </is>
      </c>
      <c r="D109" s="14" t="inlineStr">
        <is>
          <t>Common</t>
        </is>
      </c>
      <c r="E109" s="14" t="inlineStr">
        <is>
          <t>Sanosuke Sakuma</t>
        </is>
      </c>
      <c r="F109" s="15" t="n"/>
      <c r="G109" s="18">
        <f>IFERROR(_xlfn.IMAGE("https://limitlesstcg.nyc3.cdn.digitaloceanspaces.com/tpci/30C/30C_108_R_EN_SM.png","108/128"),"Sin imagen")</f>
        <v/>
      </c>
    </row>
    <row r="110" ht="105" customHeight="1">
      <c r="A110" s="14" t="inlineStr">
        <is>
          <t>109/128</t>
        </is>
      </c>
      <c r="B110" s="14" t="inlineStr">
        <is>
          <t>Salamence ex</t>
        </is>
      </c>
      <c r="C110" s="14" t="inlineStr">
        <is>
          <t>Dragón</t>
        </is>
      </c>
      <c r="D110" s="14" t="inlineStr">
        <is>
          <t>Double Rare</t>
        </is>
      </c>
      <c r="E110" s="14" t="inlineStr">
        <is>
          <t>5ban Graphics</t>
        </is>
      </c>
      <c r="F110" s="15" t="n"/>
      <c r="G110" s="18">
        <f>IFERROR(_xlfn.IMAGE("https://limitlesstcg.nyc3.cdn.digitaloceanspaces.com/tpci/30C/30C_109_R_EN_SM.png","109/128"),"Sin imagen")</f>
        <v/>
      </c>
    </row>
    <row r="111" ht="105" customHeight="1">
      <c r="A111" s="14" t="inlineStr">
        <is>
          <t>110/128</t>
        </is>
      </c>
      <c r="B111" s="14" t="inlineStr">
        <is>
          <t>Jangmo-o</t>
        </is>
      </c>
      <c r="C111" s="14" t="inlineStr">
        <is>
          <t>Dragón</t>
        </is>
      </c>
      <c r="D111" s="14" t="inlineStr">
        <is>
          <t>Common</t>
        </is>
      </c>
      <c r="E111" s="14" t="inlineStr">
        <is>
          <t>miki kudo</t>
        </is>
      </c>
      <c r="F111" s="15" t="n"/>
      <c r="G111" s="18">
        <f>IFERROR(_xlfn.IMAGE("https://limitlesstcg.nyc3.cdn.digitaloceanspaces.com/tpci/30C/30C_110_R_EN_SM.png","110/128"),"Sin imagen")</f>
        <v/>
      </c>
    </row>
    <row r="112" ht="105" customHeight="1">
      <c r="A112" s="14" t="inlineStr">
        <is>
          <t>111/128</t>
        </is>
      </c>
      <c r="B112" s="14" t="inlineStr">
        <is>
          <t>Hakamo-o</t>
        </is>
      </c>
      <c r="C112" s="14" t="inlineStr">
        <is>
          <t>Dragón</t>
        </is>
      </c>
      <c r="D112" s="14" t="inlineStr">
        <is>
          <t>Common</t>
        </is>
      </c>
      <c r="E112" s="14" t="inlineStr">
        <is>
          <t>Jiro Sasumo</t>
        </is>
      </c>
      <c r="F112" s="15" t="n"/>
      <c r="G112" s="18">
        <f>IFERROR(_xlfn.IMAGE("https://limitlesstcg.nyc3.cdn.digitaloceanspaces.com/tpci/30C/30C_111_R_EN_SM.png","111/128"),"Sin imagen")</f>
        <v/>
      </c>
    </row>
    <row r="113" ht="105" customHeight="1">
      <c r="A113" s="14" t="inlineStr">
        <is>
          <t>112/128</t>
        </is>
      </c>
      <c r="B113" s="14" t="inlineStr">
        <is>
          <t>Kommo-o</t>
        </is>
      </c>
      <c r="C113" s="14" t="inlineStr">
        <is>
          <t>Dragón</t>
        </is>
      </c>
      <c r="D113" s="14" t="inlineStr">
        <is>
          <t>Common</t>
        </is>
      </c>
      <c r="E113" s="14" t="inlineStr">
        <is>
          <t>MARINA Chikazawa</t>
        </is>
      </c>
      <c r="F113" s="15" t="n"/>
      <c r="G113" s="18">
        <f>IFERROR(_xlfn.IMAGE("https://limitlesstcg.nyc3.cdn.digitaloceanspaces.com/tpci/30C/30C_112_R_EN_SM.png","112/128"),"Sin imagen")</f>
        <v/>
      </c>
    </row>
    <row r="114" ht="105" customHeight="1">
      <c r="A114" s="14" t="inlineStr">
        <is>
          <t>113/128</t>
        </is>
      </c>
      <c r="B114" s="14" t="inlineStr">
        <is>
          <t>Meowth</t>
        </is>
      </c>
      <c r="C114" s="14" t="inlineStr">
        <is>
          <t>Incoloro</t>
        </is>
      </c>
      <c r="D114" s="14" t="inlineStr">
        <is>
          <t>Common</t>
        </is>
      </c>
      <c r="E114" s="14" t="inlineStr">
        <is>
          <t>MINAMINAMI Take</t>
        </is>
      </c>
      <c r="F114" s="15" t="n"/>
      <c r="G114" s="18">
        <f>IFERROR(_xlfn.IMAGE("https://limitlesstcg.nyc3.cdn.digitaloceanspaces.com/tpci/30C/30C_113_R_EN_SM.png","113/128"),"Sin imagen")</f>
        <v/>
      </c>
    </row>
    <row r="115" ht="105" customHeight="1">
      <c r="A115" s="14" t="inlineStr">
        <is>
          <t>114/128</t>
        </is>
      </c>
      <c r="B115" s="14" t="inlineStr">
        <is>
          <t>Kangaskhan</t>
        </is>
      </c>
      <c r="C115" s="14" t="inlineStr">
        <is>
          <t>Incoloro</t>
        </is>
      </c>
      <c r="D115" s="14" t="inlineStr">
        <is>
          <t>Common</t>
        </is>
      </c>
      <c r="E115" s="14" t="inlineStr">
        <is>
          <t>Pani Kobayashi</t>
        </is>
      </c>
      <c r="F115" s="15" t="n"/>
      <c r="G115" s="18">
        <f>IFERROR(_xlfn.IMAGE("https://limitlesstcg.nyc3.cdn.digitaloceanspaces.com/tpci/30C/30C_114_R_EN_SM.png","114/128"),"Sin imagen")</f>
        <v/>
      </c>
    </row>
    <row r="116" ht="105" customHeight="1">
      <c r="A116" s="14" t="inlineStr">
        <is>
          <t>115/128</t>
        </is>
      </c>
      <c r="B116" s="14" t="inlineStr">
        <is>
          <t>Ditto</t>
        </is>
      </c>
      <c r="C116" s="14" t="inlineStr">
        <is>
          <t>Incoloro</t>
        </is>
      </c>
      <c r="D116" s="14" t="inlineStr">
        <is>
          <t>Common</t>
        </is>
      </c>
      <c r="E116" s="14" t="inlineStr">
        <is>
          <t>Toshinao Aoki</t>
        </is>
      </c>
      <c r="F116" s="15" t="n"/>
      <c r="G116" s="18">
        <f>IFERROR(_xlfn.IMAGE("https://limitlesstcg.nyc3.cdn.digitaloceanspaces.com/tpci/30C/30C_115_R_EN_SM.png","115/128"),"Sin imagen")</f>
        <v/>
      </c>
    </row>
    <row r="117" ht="105" customHeight="1">
      <c r="A117" s="14" t="inlineStr">
        <is>
          <t>116/128</t>
        </is>
      </c>
      <c r="B117" s="14" t="inlineStr">
        <is>
          <t>Eevee</t>
        </is>
      </c>
      <c r="C117" s="14" t="inlineStr">
        <is>
          <t>Incoloro</t>
        </is>
      </c>
      <c r="D117" s="14" t="inlineStr">
        <is>
          <t>Common</t>
        </is>
      </c>
      <c r="E117" s="14" t="inlineStr">
        <is>
          <t>Wintr Wandr</t>
        </is>
      </c>
      <c r="F117" s="15" t="n"/>
      <c r="G117" s="18">
        <f>IFERROR(_xlfn.IMAGE("https://limitlesstcg.nyc3.cdn.digitaloceanspaces.com/tpci/30C/30C_116_R_EN_SM.png","116/128"),"Sin imagen")</f>
        <v/>
      </c>
    </row>
    <row r="118" ht="105" customHeight="1">
      <c r="A118" s="14" t="inlineStr">
        <is>
          <t>117/128</t>
        </is>
      </c>
      <c r="B118" s="14" t="inlineStr">
        <is>
          <t>Eevee</t>
        </is>
      </c>
      <c r="C118" s="14" t="inlineStr">
        <is>
          <t>Incoloro</t>
        </is>
      </c>
      <c r="D118" s="14" t="inlineStr">
        <is>
          <t>Common</t>
        </is>
      </c>
      <c r="E118" s="14" t="inlineStr">
        <is>
          <t>En Morikura</t>
        </is>
      </c>
      <c r="F118" s="15" t="n"/>
      <c r="G118" s="18">
        <f>IFERROR(_xlfn.IMAGE("https://limitlesstcg.nyc3.cdn.digitaloceanspaces.com/tpci/30C/30C_117_R_EN_SM.png","117/128"),"Sin imagen")</f>
        <v/>
      </c>
    </row>
    <row r="119" ht="105" customHeight="1">
      <c r="A119" s="14" t="inlineStr">
        <is>
          <t>118/128</t>
        </is>
      </c>
      <c r="B119" s="14" t="inlineStr">
        <is>
          <t>Eevee</t>
        </is>
      </c>
      <c r="C119" s="14" t="inlineStr">
        <is>
          <t>Incoloro</t>
        </is>
      </c>
      <c r="D119" s="14" t="inlineStr">
        <is>
          <t>Common</t>
        </is>
      </c>
      <c r="E119" s="14" t="inlineStr">
        <is>
          <t>Hitoshi Ariga</t>
        </is>
      </c>
      <c r="F119" s="15" t="n"/>
      <c r="G119" s="18">
        <f>IFERROR(_xlfn.IMAGE("https://limitlesstcg.nyc3.cdn.digitaloceanspaces.com/tpci/30C/30C_118_R_EN_SM.png","118/128"),"Sin imagen")</f>
        <v/>
      </c>
    </row>
    <row r="120" ht="105" customHeight="1">
      <c r="A120" s="14" t="inlineStr">
        <is>
          <t>119/128</t>
        </is>
      </c>
      <c r="B120" s="14" t="inlineStr">
        <is>
          <t>Snorlax</t>
        </is>
      </c>
      <c r="C120" s="14" t="inlineStr">
        <is>
          <t>Incoloro</t>
        </is>
      </c>
      <c r="D120" s="14" t="inlineStr">
        <is>
          <t>Common</t>
        </is>
      </c>
      <c r="E120" s="14" t="inlineStr">
        <is>
          <t>Aya Kusube</t>
        </is>
      </c>
      <c r="F120" s="15" t="n"/>
      <c r="G120" s="18">
        <f>IFERROR(_xlfn.IMAGE("https://limitlesstcg.nyc3.cdn.digitaloceanspaces.com/tpci/30C/30C_119_R_EN_SM.png","119/128"),"Sin imagen")</f>
        <v/>
      </c>
    </row>
    <row r="121" ht="105" customHeight="1">
      <c r="A121" s="14" t="inlineStr">
        <is>
          <t>120/128</t>
        </is>
      </c>
      <c r="B121" s="14" t="inlineStr">
        <is>
          <t>Igglybuff</t>
        </is>
      </c>
      <c r="C121" s="14" t="inlineStr">
        <is>
          <t>Incoloro</t>
        </is>
      </c>
      <c r="D121" s="14" t="inlineStr">
        <is>
          <t>Common</t>
        </is>
      </c>
      <c r="E121" s="14" t="inlineStr">
        <is>
          <t>Kanami Ogata</t>
        </is>
      </c>
      <c r="F121" s="15" t="n"/>
      <c r="G121" s="18">
        <f>IFERROR(_xlfn.IMAGE("https://limitlesstcg.nyc3.cdn.digitaloceanspaces.com/tpci/30C/30C_120_R_EN_SM.png","120/128"),"Sin imagen")</f>
        <v/>
      </c>
    </row>
    <row r="122" ht="105" customHeight="1">
      <c r="A122" s="14" t="inlineStr">
        <is>
          <t>121/128</t>
        </is>
      </c>
      <c r="B122" s="14" t="inlineStr">
        <is>
          <t>Lugia</t>
        </is>
      </c>
      <c r="C122" s="14" t="inlineStr">
        <is>
          <t>Incoloro</t>
        </is>
      </c>
      <c r="D122" s="14" t="inlineStr">
        <is>
          <t>Rare</t>
        </is>
      </c>
      <c r="E122" s="14" t="inlineStr">
        <is>
          <t>Kazuki Minami</t>
        </is>
      </c>
      <c r="F122" s="15" t="n"/>
      <c r="G122" s="18">
        <f>IFERROR(_xlfn.IMAGE("https://limitlesstcg.nyc3.cdn.digitaloceanspaces.com/tpci/30C/30C_121_R_EN_SM.png","121/128"),"Sin imagen")</f>
        <v/>
      </c>
    </row>
    <row r="123" ht="105" customHeight="1">
      <c r="A123" s="14" t="inlineStr">
        <is>
          <t>122/128</t>
        </is>
      </c>
      <c r="B123" s="14" t="inlineStr">
        <is>
          <t>Hisuian Zorua</t>
        </is>
      </c>
      <c r="C123" s="14" t="inlineStr">
        <is>
          <t>Incoloro</t>
        </is>
      </c>
      <c r="D123" s="14" t="inlineStr">
        <is>
          <t>Common</t>
        </is>
      </c>
      <c r="E123" s="14" t="inlineStr">
        <is>
          <t>Megumi Mizutani</t>
        </is>
      </c>
      <c r="F123" s="15" t="n"/>
      <c r="G123" s="18">
        <f>IFERROR(_xlfn.IMAGE("https://limitlesstcg.nyc3.cdn.digitaloceanspaces.com/tpci/30C/30C_122_R_EN_SM.png","122/128"),"Sin imagen")</f>
        <v/>
      </c>
    </row>
    <row r="124" ht="105" customHeight="1">
      <c r="A124" s="14" t="inlineStr">
        <is>
          <t>123/128</t>
        </is>
      </c>
      <c r="B124" s="14" t="inlineStr">
        <is>
          <t>Hisuian Zoroark</t>
        </is>
      </c>
      <c r="C124" s="14" t="inlineStr">
        <is>
          <t>Incoloro</t>
        </is>
      </c>
      <c r="D124" s="14" t="inlineStr">
        <is>
          <t>Common</t>
        </is>
      </c>
      <c r="E124" s="14" t="inlineStr">
        <is>
          <t>Kamome Shirahama</t>
        </is>
      </c>
      <c r="F124" s="15" t="n"/>
      <c r="G124" s="18">
        <f>IFERROR(_xlfn.IMAGE("https://limitlesstcg.nyc3.cdn.digitaloceanspaces.com/tpci/30C/30C_123_R_EN_SM.png","123/128"),"Sin imagen")</f>
        <v/>
      </c>
    </row>
    <row r="125" ht="105" customHeight="1">
      <c r="A125" s="14" t="inlineStr">
        <is>
          <t>124/128</t>
        </is>
      </c>
      <c r="B125" s="14" t="inlineStr">
        <is>
          <t>Minior</t>
        </is>
      </c>
      <c r="C125" s="14" t="inlineStr">
        <is>
          <t>Incoloro</t>
        </is>
      </c>
      <c r="D125" s="14" t="inlineStr">
        <is>
          <t>Common</t>
        </is>
      </c>
      <c r="E125" s="14" t="inlineStr">
        <is>
          <t>ryoma uratsuka</t>
        </is>
      </c>
      <c r="F125" s="15" t="n"/>
      <c r="G125" s="18">
        <f>IFERROR(_xlfn.IMAGE("https://limitlesstcg.nyc3.cdn.digitaloceanspaces.com/tpci/30C/30C_124_R_EN_SM.png","124/128"),"Sin imagen")</f>
        <v/>
      </c>
    </row>
    <row r="126" ht="105" customHeight="1">
      <c r="A126" s="14" t="inlineStr">
        <is>
          <t>125/128</t>
        </is>
      </c>
      <c r="B126" s="14" t="inlineStr">
        <is>
          <t>Maushold</t>
        </is>
      </c>
      <c r="C126" s="14" t="inlineStr">
        <is>
          <t>Incoloro</t>
        </is>
      </c>
      <c r="D126" s="14" t="inlineStr">
        <is>
          <t>Common</t>
        </is>
      </c>
      <c r="E126" s="14" t="inlineStr">
        <is>
          <t>Kariya</t>
        </is>
      </c>
      <c r="F126" s="15" t="n"/>
      <c r="G126" s="18">
        <f>IFERROR(_xlfn.IMAGE("https://limitlesstcg.nyc3.cdn.digitaloceanspaces.com/tpci/30C/30C_125_R_EN_SM.png","125/128"),"Sin imagen")</f>
        <v/>
      </c>
    </row>
    <row r="127" ht="105" customHeight="1">
      <c r="A127" s="14" t="inlineStr">
        <is>
          <t>126/128</t>
        </is>
      </c>
      <c r="B127" s="14" t="inlineStr">
        <is>
          <t>Poké Pad</t>
        </is>
      </c>
      <c r="C127" s="14" t="inlineStr">
        <is>
          <t>Entrenador</t>
        </is>
      </c>
      <c r="D127" s="14" t="inlineStr">
        <is>
          <t>Common</t>
        </is>
      </c>
      <c r="E127" s="14" t="inlineStr">
        <is>
          <t>Yuka Morii</t>
        </is>
      </c>
      <c r="F127" s="15" t="n"/>
      <c r="G127" s="18">
        <f>IFERROR(_xlfn.IMAGE("https://limitlesstcg.nyc3.cdn.digitaloceanspaces.com/tpci/30C/30C_126_R_EN_SM.png","126/128"),"Sin imagen")</f>
        <v/>
      </c>
    </row>
    <row r="128" ht="105" customHeight="1">
      <c r="A128" s="14" t="inlineStr">
        <is>
          <t>127/128</t>
        </is>
      </c>
      <c r="B128" s="14" t="inlineStr">
        <is>
          <t>Switch</t>
        </is>
      </c>
      <c r="C128" s="14" t="inlineStr">
        <is>
          <t>Entrenador</t>
        </is>
      </c>
      <c r="D128" s="14" t="inlineStr">
        <is>
          <t>Common</t>
        </is>
      </c>
      <c r="E128" s="14" t="inlineStr">
        <is>
          <t>Yuka Morii</t>
        </is>
      </c>
      <c r="F128" s="15" t="n"/>
      <c r="G128" s="18">
        <f>IFERROR(_xlfn.IMAGE("https://limitlesstcg.nyc3.cdn.digitaloceanspaces.com/tpci/30C/30C_127_R_EN_SM.png","127/128"),"Sin imagen")</f>
        <v/>
      </c>
    </row>
    <row r="129" ht="105" customHeight="1">
      <c r="A129" s="14" t="inlineStr">
        <is>
          <t>128/128</t>
        </is>
      </c>
      <c r="B129" s="14" t="inlineStr">
        <is>
          <t>Ultra Ball</t>
        </is>
      </c>
      <c r="C129" s="14" t="inlineStr">
        <is>
          <t>Entrenador</t>
        </is>
      </c>
      <c r="D129" s="14" t="inlineStr">
        <is>
          <t>Common</t>
        </is>
      </c>
      <c r="E129" s="14" t="inlineStr">
        <is>
          <t>Yuka Morii</t>
        </is>
      </c>
      <c r="F129" s="15" t="n"/>
      <c r="G129" s="18">
        <f>IFERROR(_xlfn.IMAGE("https://limitlesstcg.nyc3.cdn.digitaloceanspaces.com/tpci/30C/30C_128_R_EN_SM.png","128/128"),"Sin imagen")</f>
        <v/>
      </c>
    </row>
  </sheetData>
  <autoFilter ref="A1:G129"/>
  <dataValidations count="1">
    <dataValidation sqref="F2:F129" showDropDown="0" showInputMessage="0" showErrorMessage="0" allowBlank="1" type="list">
      <formula1>"Sí,No"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10" defaultColWidth="8.7109375" defaultRowHeight="15"/>
  <cols>
    <col width="10" customWidth="1" min="1" max="1"/>
    <col width="22" customWidth="1" min="2" max="2"/>
    <col width="12" customWidth="1" min="3" max="3"/>
    <col width="24" customWidth="1" min="4" max="4"/>
    <col width="22" customWidth="1" min="5" max="5"/>
    <col width="44" customWidth="1" min="6" max="6"/>
    <col width="12" customWidth="1" min="7" max="7"/>
    <col width="17" customWidth="1" min="8" max="8"/>
  </cols>
  <sheetData>
    <row r="1" ht="25.5" customHeight="1">
      <c r="A1" s="13" t="inlineStr">
        <is>
          <t>N.º</t>
        </is>
      </c>
      <c r="B1" s="13" t="inlineStr">
        <is>
          <t>Nombre</t>
        </is>
      </c>
      <c r="C1" s="13" t="inlineStr">
        <is>
          <t>Tipo</t>
        </is>
      </c>
      <c r="D1" s="13" t="inlineStr">
        <is>
          <t>Rareza</t>
        </is>
      </c>
      <c r="E1" s="13" t="inlineStr">
        <is>
          <t>Ilustrador</t>
        </is>
      </c>
      <c r="F1" s="13" t="inlineStr">
        <is>
          <t>Notas</t>
        </is>
      </c>
      <c r="G1" s="13" t="inlineStr">
        <is>
          <t>¿La tengo?</t>
        </is>
      </c>
      <c r="H1" s="17" t="inlineStr">
        <is>
          <t>Imagen</t>
        </is>
      </c>
    </row>
    <row r="2" ht="105" customHeight="1">
      <c r="A2" s="14" t="inlineStr">
        <is>
          <t>129/128</t>
        </is>
      </c>
      <c r="B2" s="14" t="inlineStr">
        <is>
          <t>Alolan Exeggutor</t>
        </is>
      </c>
      <c r="C2" s="14" t="inlineStr">
        <is>
          <t>Planta</t>
        </is>
      </c>
      <c r="D2" s="14" t="inlineStr">
        <is>
          <t>Illustration Rare</t>
        </is>
      </c>
      <c r="E2" s="14" t="inlineStr">
        <is>
          <t>AYUMI ODASHIMA</t>
        </is>
      </c>
      <c r="F2" s="16" t="n"/>
      <c r="G2" s="15" t="n"/>
      <c r="H2" s="18">
        <f>IFERROR(_xlfn.IMAGE("https://limitlesstcg.nyc3.cdn.digitaloceanspaces.com/tpci/30C/30C_129_R_EN_SM.png","129/128"),"Sin imagen")</f>
        <v/>
      </c>
    </row>
    <row r="3" ht="105" customHeight="1">
      <c r="A3" s="14" t="inlineStr">
        <is>
          <t>130/128</t>
        </is>
      </c>
      <c r="B3" s="14" t="inlineStr">
        <is>
          <t>Moltres</t>
        </is>
      </c>
      <c r="C3" s="14" t="inlineStr">
        <is>
          <t>Fuego</t>
        </is>
      </c>
      <c r="D3" s="14" t="inlineStr">
        <is>
          <t>Illustration Rare</t>
        </is>
      </c>
      <c r="E3" s="14" t="inlineStr">
        <is>
          <t>mashu</t>
        </is>
      </c>
      <c r="F3" s="16" t="n"/>
      <c r="G3" s="15" t="n"/>
      <c r="H3" s="18">
        <f>IFERROR(_xlfn.IMAGE("https://limitlesstcg.nyc3.cdn.digitaloceanspaces.com/tpci/30C/30C_130_R_EN_SM.png","130/128"),"Sin imagen")</f>
        <v/>
      </c>
    </row>
    <row r="4" ht="105" customHeight="1">
      <c r="A4" s="14" t="inlineStr">
        <is>
          <t>131/128</t>
        </is>
      </c>
      <c r="B4" s="14" t="inlineStr">
        <is>
          <t>Lapras</t>
        </is>
      </c>
      <c r="C4" s="14" t="inlineStr">
        <is>
          <t>Agua</t>
        </is>
      </c>
      <c r="D4" s="14" t="inlineStr">
        <is>
          <t>Illustration Rare</t>
        </is>
      </c>
      <c r="E4" s="14" t="inlineStr">
        <is>
          <t>Ameikart</t>
        </is>
      </c>
      <c r="F4" s="16" t="n"/>
      <c r="G4" s="15" t="n"/>
      <c r="H4" s="18">
        <f>IFERROR(_xlfn.IMAGE("https://limitlesstcg.nyc3.cdn.digitaloceanspaces.com/tpci/30C/30C_131_R_EN_SM.png","131/128"),"Sin imagen")</f>
        <v/>
      </c>
    </row>
    <row r="5" ht="105" customHeight="1">
      <c r="A5" s="14" t="inlineStr">
        <is>
          <t>132/128</t>
        </is>
      </c>
      <c r="B5" s="14" t="inlineStr">
        <is>
          <t>Articuno</t>
        </is>
      </c>
      <c r="C5" s="14" t="inlineStr">
        <is>
          <t>Agua</t>
        </is>
      </c>
      <c r="D5" s="14" t="inlineStr">
        <is>
          <t>Illustration Rare</t>
        </is>
      </c>
      <c r="E5" s="14" t="inlineStr">
        <is>
          <t>mashu</t>
        </is>
      </c>
      <c r="F5" s="16" t="n"/>
      <c r="G5" s="15" t="n"/>
      <c r="H5" s="18">
        <f>IFERROR(_xlfn.IMAGE("https://limitlesstcg.nyc3.cdn.digitaloceanspaces.com/tpci/30C/30C_132_R_EN_SM.png","132/128"),"Sin imagen")</f>
        <v/>
      </c>
    </row>
    <row r="6" ht="105" customHeight="1">
      <c r="A6" s="14" t="inlineStr">
        <is>
          <t>133/128</t>
        </is>
      </c>
      <c r="B6" s="14" t="inlineStr">
        <is>
          <t>Zapdos</t>
        </is>
      </c>
      <c r="C6" s="14" t="inlineStr">
        <is>
          <t>Rayo</t>
        </is>
      </c>
      <c r="D6" s="14" t="inlineStr">
        <is>
          <t>Illustration Rare</t>
        </is>
      </c>
      <c r="E6" s="14" t="inlineStr">
        <is>
          <t>mashu</t>
        </is>
      </c>
      <c r="F6" s="16" t="n"/>
      <c r="G6" s="15" t="n"/>
      <c r="H6" s="18">
        <f>IFERROR(_xlfn.IMAGE("https://limitlesstcg.nyc3.cdn.digitaloceanspaces.com/tpci/30C/30C_133_R_EN_SM.png","133/128"),"Sin imagen")</f>
        <v/>
      </c>
    </row>
    <row r="7" ht="105" customHeight="1">
      <c r="A7" s="14" t="inlineStr">
        <is>
          <t>134/128</t>
        </is>
      </c>
      <c r="B7" s="14" t="inlineStr">
        <is>
          <t>Toxtricity</t>
        </is>
      </c>
      <c r="C7" s="14" t="inlineStr">
        <is>
          <t>Rayo</t>
        </is>
      </c>
      <c r="D7" s="14" t="inlineStr">
        <is>
          <t>Illustration Rare</t>
        </is>
      </c>
      <c r="E7" s="14" t="inlineStr">
        <is>
          <t>Kazumasa Yasukuni</t>
        </is>
      </c>
      <c r="F7" s="16" t="n"/>
      <c r="G7" s="15" t="n"/>
      <c r="H7" s="18">
        <f>IFERROR(_xlfn.IMAGE("https://limitlesstcg.nyc3.cdn.digitaloceanspaces.com/tpci/30C/30C_134_R_EN_SM.png","134/128"),"Sin imagen")</f>
        <v/>
      </c>
    </row>
    <row r="8" ht="105" customHeight="1">
      <c r="A8" s="14" t="inlineStr">
        <is>
          <t>135/128</t>
        </is>
      </c>
      <c r="B8" s="14" t="inlineStr">
        <is>
          <t>Morpeko</t>
        </is>
      </c>
      <c r="C8" s="14" t="inlineStr">
        <is>
          <t>Rayo</t>
        </is>
      </c>
      <c r="D8" s="14" t="inlineStr">
        <is>
          <t>Illustration Rare</t>
        </is>
      </c>
      <c r="E8" s="14" t="inlineStr">
        <is>
          <t>Yoshimi Miyoshi</t>
        </is>
      </c>
      <c r="F8" s="16" t="n"/>
      <c r="G8" s="15" t="n"/>
      <c r="H8" s="18">
        <f>IFERROR(_xlfn.IMAGE("https://limitlesstcg.nyc3.cdn.digitaloceanspaces.com/tpci/30C/30C_135_R_EN_SM.png","135/128"),"Sin imagen")</f>
        <v/>
      </c>
    </row>
    <row r="9" ht="105" customHeight="1">
      <c r="A9" s="14" t="inlineStr">
        <is>
          <t>136/128</t>
        </is>
      </c>
      <c r="B9" s="14" t="inlineStr">
        <is>
          <t>Drifloon</t>
        </is>
      </c>
      <c r="C9" s="14" t="inlineStr">
        <is>
          <t>Psíquico</t>
        </is>
      </c>
      <c r="D9" s="14" t="inlineStr">
        <is>
          <t>Illustration Rare</t>
        </is>
      </c>
      <c r="E9" s="14" t="inlineStr">
        <is>
          <t>Whisker</t>
        </is>
      </c>
      <c r="F9" s="16" t="n"/>
      <c r="G9" s="15" t="n"/>
      <c r="H9" s="18">
        <f>IFERROR(_xlfn.IMAGE("https://limitlesstcg.nyc3.cdn.digitaloceanspaces.com/tpci/30C/30C_136_R_EN_SM.png","136/128"),"Sin imagen")</f>
        <v/>
      </c>
    </row>
    <row r="10" ht="105" customHeight="1">
      <c r="A10" s="14" t="inlineStr">
        <is>
          <t>137/128</t>
        </is>
      </c>
      <c r="B10" s="14" t="inlineStr">
        <is>
          <t>Chandelure</t>
        </is>
      </c>
      <c r="C10" s="14" t="inlineStr">
        <is>
          <t>Psíquico</t>
        </is>
      </c>
      <c r="D10" s="14" t="inlineStr">
        <is>
          <t>Illustration Rare</t>
        </is>
      </c>
      <c r="E10" s="14" t="inlineStr">
        <is>
          <t>YASHIRO Nanaco</t>
        </is>
      </c>
      <c r="F10" s="16" t="n"/>
      <c r="G10" s="15" t="n"/>
      <c r="H10" s="18">
        <f>IFERROR(_xlfn.IMAGE("https://limitlesstcg.nyc3.cdn.digitaloceanspaces.com/tpci/30C/30C_137_R_EN_SM.png","137/128"),"Sin imagen")</f>
        <v/>
      </c>
    </row>
    <row r="11" ht="105" customHeight="1">
      <c r="A11" s="14" t="inlineStr">
        <is>
          <t>138/128</t>
        </is>
      </c>
      <c r="B11" s="14" t="inlineStr">
        <is>
          <t>Lycanroc</t>
        </is>
      </c>
      <c r="C11" s="14" t="inlineStr">
        <is>
          <t>Lucha</t>
        </is>
      </c>
      <c r="D11" s="14" t="inlineStr">
        <is>
          <t>Illustration Rare</t>
        </is>
      </c>
      <c r="E11" s="14" t="inlineStr">
        <is>
          <t>Raita Kazama</t>
        </is>
      </c>
      <c r="F11" s="16" t="n"/>
      <c r="G11" s="15" t="n"/>
      <c r="H11" s="18">
        <f>IFERROR(_xlfn.IMAGE("https://limitlesstcg.nyc3.cdn.digitaloceanspaces.com/tpci/30C/30C_138_R_EN_SM.png","138/128"),"Sin imagen")</f>
        <v/>
      </c>
    </row>
    <row r="12" ht="105" customHeight="1">
      <c r="A12" s="14" t="inlineStr">
        <is>
          <t>139/128</t>
        </is>
      </c>
      <c r="B12" s="14" t="inlineStr">
        <is>
          <t>Alolan Meowth</t>
        </is>
      </c>
      <c r="C12" s="14" t="inlineStr">
        <is>
          <t>Oscuridad</t>
        </is>
      </c>
      <c r="D12" s="14" t="inlineStr">
        <is>
          <t>Illustration Rare</t>
        </is>
      </c>
      <c r="E12" s="14" t="inlineStr">
        <is>
          <t>OKUBO</t>
        </is>
      </c>
      <c r="F12" s="16" t="n"/>
      <c r="G12" s="15" t="n"/>
      <c r="H12" s="18">
        <f>IFERROR(_xlfn.IMAGE("https://limitlesstcg.nyc3.cdn.digitaloceanspaces.com/tpci/30C/30C_139_R_EN_SM.png","139/128"),"Sin imagen")</f>
        <v/>
      </c>
    </row>
    <row r="13" ht="105" customHeight="1">
      <c r="A13" s="14" t="inlineStr">
        <is>
          <t>140/128</t>
        </is>
      </c>
      <c r="B13" s="14" t="inlineStr">
        <is>
          <t>Scraggy</t>
        </is>
      </c>
      <c r="C13" s="14" t="inlineStr">
        <is>
          <t>Oscuridad</t>
        </is>
      </c>
      <c r="D13" s="14" t="inlineStr">
        <is>
          <t>Illustration Rare</t>
        </is>
      </c>
      <c r="E13" s="14" t="inlineStr">
        <is>
          <t>GOSSAN</t>
        </is>
      </c>
      <c r="F13" s="16" t="n"/>
      <c r="G13" s="15" t="n"/>
      <c r="H13" s="18">
        <f>IFERROR(_xlfn.IMAGE("https://limitlesstcg.nyc3.cdn.digitaloceanspaces.com/tpci/30C/30C_140_R_EN_SM.png","140/128"),"Sin imagen")</f>
        <v/>
      </c>
    </row>
    <row r="14" ht="105" customHeight="1">
      <c r="A14" s="14" t="inlineStr">
        <is>
          <t>141/128</t>
        </is>
      </c>
      <c r="B14" s="14" t="inlineStr">
        <is>
          <t>Galarian Meowth</t>
        </is>
      </c>
      <c r="C14" s="14" t="inlineStr">
        <is>
          <t>Metal</t>
        </is>
      </c>
      <c r="D14" s="14" t="inlineStr">
        <is>
          <t>Illustration Rare</t>
        </is>
      </c>
      <c r="E14" s="14" t="inlineStr">
        <is>
          <t>OKUBO</t>
        </is>
      </c>
      <c r="F14" s="16" t="n"/>
      <c r="G14" s="15" t="n"/>
      <c r="H14" s="18">
        <f>IFERROR(_xlfn.IMAGE("https://limitlesstcg.nyc3.cdn.digitaloceanspaces.com/tpci/30C/30C_141_R_EN_SM.png","141/128"),"Sin imagen")</f>
        <v/>
      </c>
    </row>
    <row r="15" ht="105" customHeight="1">
      <c r="A15" s="14" t="inlineStr">
        <is>
          <t>142/128</t>
        </is>
      </c>
      <c r="B15" s="14" t="inlineStr">
        <is>
          <t>Gholdengo</t>
        </is>
      </c>
      <c r="C15" s="14" t="inlineStr">
        <is>
          <t>Metal</t>
        </is>
      </c>
      <c r="D15" s="14" t="inlineStr">
        <is>
          <t>Illustration Rare</t>
        </is>
      </c>
      <c r="E15" s="14" t="inlineStr">
        <is>
          <t>toriyufu</t>
        </is>
      </c>
      <c r="F15" s="16" t="n"/>
      <c r="G15" s="15" t="n"/>
      <c r="H15" s="18">
        <f>IFERROR(_xlfn.IMAGE("https://limitlesstcg.nyc3.cdn.digitaloceanspaces.com/tpci/30C/30C_142_R_EN_SM.png","142/128"),"Sin imagen")</f>
        <v/>
      </c>
    </row>
    <row r="16" ht="105" customHeight="1">
      <c r="A16" s="14" t="inlineStr">
        <is>
          <t>143/128</t>
        </is>
      </c>
      <c r="B16" s="14" t="inlineStr">
        <is>
          <t>Kommo-o</t>
        </is>
      </c>
      <c r="C16" s="14" t="inlineStr">
        <is>
          <t>Dragón</t>
        </is>
      </c>
      <c r="D16" s="14" t="inlineStr">
        <is>
          <t>Illustration Rare</t>
        </is>
      </c>
      <c r="E16" s="14" t="n"/>
      <c r="F16" s="16" t="inlineStr">
        <is>
          <t>Ilustrador aún no confirmado en las fuentes</t>
        </is>
      </c>
      <c r="G16" s="15" t="n"/>
      <c r="H16" s="18">
        <f>IFERROR(_xlfn.IMAGE("https://limitlesstcg.nyc3.cdn.digitaloceanspaces.com/tpci/30C/30C_143_R_EN_SM.png","143/128"),"Sin imagen")</f>
        <v/>
      </c>
    </row>
    <row r="17" ht="105" customHeight="1">
      <c r="A17" s="14" t="inlineStr">
        <is>
          <t>144/128</t>
        </is>
      </c>
      <c r="B17" s="14" t="inlineStr">
        <is>
          <t>Meowth</t>
        </is>
      </c>
      <c r="C17" s="14" t="inlineStr">
        <is>
          <t>Incoloro</t>
        </is>
      </c>
      <c r="D17" s="14" t="inlineStr">
        <is>
          <t>Illustration Rare</t>
        </is>
      </c>
      <c r="E17" s="14" t="inlineStr">
        <is>
          <t>OKUBO</t>
        </is>
      </c>
      <c r="F17" s="16" t="n"/>
      <c r="G17" s="15" t="n"/>
      <c r="H17" s="18">
        <f>IFERROR(_xlfn.IMAGE("https://limitlesstcg.nyc3.cdn.digitaloceanspaces.com/tpci/30C/30C_144_R_EN_SM.png","144/128"),"Sin imagen")</f>
        <v/>
      </c>
    </row>
    <row r="18" ht="105" customHeight="1">
      <c r="A18" s="14" t="inlineStr">
        <is>
          <t>145/128</t>
        </is>
      </c>
      <c r="B18" s="14" t="inlineStr">
        <is>
          <t>Hisuian Zorua</t>
        </is>
      </c>
      <c r="C18" s="14" t="inlineStr">
        <is>
          <t>Incoloro</t>
        </is>
      </c>
      <c r="D18" s="14" t="inlineStr">
        <is>
          <t>Illustration Rare</t>
        </is>
      </c>
      <c r="E18" s="14" t="inlineStr">
        <is>
          <t>0313</t>
        </is>
      </c>
      <c r="F18" s="16" t="n"/>
      <c r="G18" s="15" t="n"/>
      <c r="H18" s="18">
        <f>IFERROR(_xlfn.IMAGE("https://limitlesstcg.nyc3.cdn.digitaloceanspaces.com/tpci/30C/30C_145_R_EN_SM.png","145/128"),"Sin imagen")</f>
        <v/>
      </c>
    </row>
    <row r="19" ht="105" customHeight="1">
      <c r="A19" s="14" t="inlineStr">
        <is>
          <t>146/128</t>
        </is>
      </c>
      <c r="B19" s="14" t="inlineStr">
        <is>
          <t>Maushold</t>
        </is>
      </c>
      <c r="C19" s="14" t="inlineStr">
        <is>
          <t>Incoloro</t>
        </is>
      </c>
      <c r="D19" s="14" t="inlineStr">
        <is>
          <t>Illustration Rare</t>
        </is>
      </c>
      <c r="E19" s="14" t="inlineStr">
        <is>
          <t>osare</t>
        </is>
      </c>
      <c r="F19" s="16" t="n"/>
      <c r="G19" s="15" t="n"/>
      <c r="H19" s="18">
        <f>IFERROR(_xlfn.IMAGE("https://limitlesstcg.nyc3.cdn.digitaloceanspaces.com/tpci/30C/30C_146_R_EN_SM.png","146/128"),"Sin imagen")</f>
        <v/>
      </c>
    </row>
    <row r="20" ht="105" customHeight="1">
      <c r="A20" s="14" t="inlineStr">
        <is>
          <t>147/128</t>
        </is>
      </c>
      <c r="B20" s="14" t="inlineStr">
        <is>
          <t>Fuecoco ex</t>
        </is>
      </c>
      <c r="C20" s="14" t="inlineStr">
        <is>
          <t>Fuego</t>
        </is>
      </c>
      <c r="D20" s="14" t="inlineStr">
        <is>
          <t>Special Illustration Rare</t>
        </is>
      </c>
      <c r="E20" s="14" t="inlineStr">
        <is>
          <t>Atsushi Furusawa</t>
        </is>
      </c>
      <c r="F20" s="16" t="n"/>
      <c r="G20" s="15" t="n"/>
      <c r="H20" s="18">
        <f>IFERROR(_xlfn.IMAGE("https://limitlesstcg.nyc3.cdn.digitaloceanspaces.com/tpci/30C/30C_147_R_EN_SM.png","147/128"),"Sin imagen")</f>
        <v/>
      </c>
    </row>
    <row r="21" ht="105" customHeight="1">
      <c r="A21" s="14" t="inlineStr">
        <is>
          <t>148/128</t>
        </is>
      </c>
      <c r="B21" s="14" t="inlineStr">
        <is>
          <t>Greninja ex</t>
        </is>
      </c>
      <c r="C21" s="14" t="inlineStr">
        <is>
          <t>Agua</t>
        </is>
      </c>
      <c r="D21" s="14" t="inlineStr">
        <is>
          <t>Special Illustration Rare</t>
        </is>
      </c>
      <c r="E21" s="14" t="inlineStr">
        <is>
          <t>GIDORA</t>
        </is>
      </c>
      <c r="F21" s="16" t="n"/>
      <c r="G21" s="15" t="n"/>
      <c r="H21" s="18">
        <f>IFERROR(_xlfn.IMAGE("https://limitlesstcg.nyc3.cdn.digitaloceanspaces.com/tpci/30C/30C_148_R_EN_SM.png","148/128"),"Sin imagen")</f>
        <v/>
      </c>
    </row>
    <row r="22" ht="105" customHeight="1">
      <c r="A22" s="14" t="inlineStr">
        <is>
          <t>149/128</t>
        </is>
      </c>
      <c r="B22" s="14" t="inlineStr">
        <is>
          <t>Pikachu ex (día)</t>
        </is>
      </c>
      <c r="C22" s="14" t="inlineStr">
        <is>
          <t>Rayo</t>
        </is>
      </c>
      <c r="D22" s="14" t="inlineStr">
        <is>
          <t>Special Illustration Rare</t>
        </is>
      </c>
      <c r="E22" s="14" t="inlineStr">
        <is>
          <t>kantaro</t>
        </is>
      </c>
      <c r="F22" s="16" t="n"/>
      <c r="G22" s="15" t="n"/>
      <c r="H22" s="18">
        <f>IFERROR(_xlfn.IMAGE("https://limitlesstcg.nyc3.cdn.digitaloceanspaces.com/tpci/30C/30C_149_R_EN_SM.png","149/128"),"Sin imagen")</f>
        <v/>
      </c>
    </row>
    <row r="23" ht="105" customHeight="1">
      <c r="A23" s="14" t="inlineStr">
        <is>
          <t>150/128</t>
        </is>
      </c>
      <c r="B23" s="14" t="inlineStr">
        <is>
          <t>Pikachu ex (noche)</t>
        </is>
      </c>
      <c r="C23" s="14" t="inlineStr">
        <is>
          <t>Rayo</t>
        </is>
      </c>
      <c r="D23" s="14" t="inlineStr">
        <is>
          <t>Special Illustration Rare</t>
        </is>
      </c>
      <c r="E23" s="14" t="inlineStr">
        <is>
          <t>kantaro</t>
        </is>
      </c>
      <c r="F23" s="16" t="n"/>
      <c r="G23" s="15" t="n"/>
      <c r="H23" s="18">
        <f>IFERROR(_xlfn.IMAGE("https://limitlesstcg.nyc3.cdn.digitaloceanspaces.com/tpci/30C/30C_150_R_EN_SM.png","150/128"),"Sin imagen")</f>
        <v/>
      </c>
    </row>
    <row r="24" ht="105" customHeight="1">
      <c r="A24" s="14" t="inlineStr">
        <is>
          <t>151/128</t>
        </is>
      </c>
      <c r="B24" s="14" t="inlineStr">
        <is>
          <t>Mewtwo ex</t>
        </is>
      </c>
      <c r="C24" s="14" t="inlineStr">
        <is>
          <t>Psíquico</t>
        </is>
      </c>
      <c r="D24" s="14" t="inlineStr">
        <is>
          <t>Special Illustration Rare</t>
        </is>
      </c>
      <c r="E24" s="14" t="n"/>
      <c r="F24" s="16" t="inlineStr">
        <is>
          <t>Ilustrador aún no confirmado en las fuentes</t>
        </is>
      </c>
      <c r="G24" s="15" t="n"/>
      <c r="H24" s="18">
        <f>IFERROR(_xlfn.IMAGE("https://limitlesstcg.nyc3.cdn.digitaloceanspaces.com/tpci/30C/30C_151_R_EN_SM.png","151/128"),"Sin imagen")</f>
        <v/>
      </c>
    </row>
    <row r="25" ht="105" customHeight="1">
      <c r="A25" s="14" t="inlineStr">
        <is>
          <t>152/128</t>
        </is>
      </c>
      <c r="B25" s="14" t="inlineStr">
        <is>
          <t>Mew ex</t>
        </is>
      </c>
      <c r="C25" s="14" t="inlineStr">
        <is>
          <t>Psíquico</t>
        </is>
      </c>
      <c r="D25" s="14" t="inlineStr">
        <is>
          <t>Special Illustration Rare</t>
        </is>
      </c>
      <c r="E25" s="14" t="n"/>
      <c r="F25" s="16" t="inlineStr">
        <is>
          <t>Ilustrador aún no confirmado en las fuentes</t>
        </is>
      </c>
      <c r="G25" s="15" t="n"/>
      <c r="H25" s="18">
        <f>IFERROR(_xlfn.IMAGE("https://limitlesstcg.nyc3.cdn.digitaloceanspaces.com/tpci/30C/30C_152_R_EN_SM.png","152/128"),"Sin imagen")</f>
        <v/>
      </c>
    </row>
    <row r="26" ht="105" customHeight="1">
      <c r="A26" s="14" t="inlineStr">
        <is>
          <t>153/128</t>
        </is>
      </c>
      <c r="B26" s="14" t="inlineStr">
        <is>
          <t>Sylveon ex</t>
        </is>
      </c>
      <c r="C26" s="14" t="inlineStr">
        <is>
          <t>Psíquico</t>
        </is>
      </c>
      <c r="D26" s="14" t="inlineStr">
        <is>
          <t>Special Illustration Rare</t>
        </is>
      </c>
      <c r="E26" s="14" t="inlineStr">
        <is>
          <t>You Iribi</t>
        </is>
      </c>
      <c r="F26" s="16" t="n"/>
      <c r="G26" s="15" t="n"/>
      <c r="H26" s="18">
        <f>IFERROR(_xlfn.IMAGE("https://limitlesstcg.nyc3.cdn.digitaloceanspaces.com/tpci/30C/30C_153_R_EN_SM.png","153/128"),"Sin imagen")</f>
        <v/>
      </c>
    </row>
    <row r="27" ht="105" customHeight="1">
      <c r="A27" s="14" t="inlineStr">
        <is>
          <t>154/128</t>
        </is>
      </c>
      <c r="B27" s="14" t="inlineStr">
        <is>
          <t>Gengar ex</t>
        </is>
      </c>
      <c r="C27" s="14" t="inlineStr">
        <is>
          <t>Oscuridad</t>
        </is>
      </c>
      <c r="D27" s="14" t="inlineStr">
        <is>
          <t>Special Illustration Rare</t>
        </is>
      </c>
      <c r="E27" s="14" t="n"/>
      <c r="F27" s="16" t="inlineStr">
        <is>
          <t>Ilustrador aún no confirmado en las fuentes</t>
        </is>
      </c>
      <c r="G27" s="15" t="n"/>
      <c r="H27" s="18">
        <f>IFERROR(_xlfn.IMAGE("https://limitlesstcg.nyc3.cdn.digitaloceanspaces.com/tpci/30C/30C_154_R_EN_SM.png","154/128"),"Sin imagen")</f>
        <v/>
      </c>
    </row>
    <row r="28" ht="105" customHeight="1">
      <c r="A28" s="14" t="inlineStr">
        <is>
          <t>155/128</t>
        </is>
      </c>
      <c r="B28" s="14" t="inlineStr">
        <is>
          <t>Jirachi ex</t>
        </is>
      </c>
      <c r="C28" s="14" t="inlineStr">
        <is>
          <t>Metal</t>
        </is>
      </c>
      <c r="D28" s="14" t="inlineStr">
        <is>
          <t>Special Illustration Rare</t>
        </is>
      </c>
      <c r="E28" s="14" t="inlineStr">
        <is>
          <t>AKIRA EGAWA</t>
        </is>
      </c>
      <c r="F28" s="16" t="n"/>
      <c r="G28" s="15" t="n"/>
      <c r="H28" s="18">
        <f>IFERROR(_xlfn.IMAGE("https://limitlesstcg.nyc3.cdn.digitaloceanspaces.com/tpci/30C/30C_155_R_EN_SM.png","155/128"),"Sin imagen")</f>
        <v/>
      </c>
    </row>
    <row r="29" ht="105" customHeight="1">
      <c r="A29" s="14" t="inlineStr">
        <is>
          <t>156/128</t>
        </is>
      </c>
      <c r="B29" s="14" t="inlineStr">
        <is>
          <t>Salamence ex</t>
        </is>
      </c>
      <c r="C29" s="14" t="inlineStr">
        <is>
          <t>Dragón</t>
        </is>
      </c>
      <c r="D29" s="14" t="inlineStr">
        <is>
          <t>Special Illustration Rare</t>
        </is>
      </c>
      <c r="E29" s="14" t="inlineStr">
        <is>
          <t>Ryota Murayama</t>
        </is>
      </c>
      <c r="F29" s="16" t="n"/>
      <c r="G29" s="15" t="n"/>
      <c r="H29" s="18">
        <f>IFERROR(_xlfn.IMAGE("https://limitlesstcg.nyc3.cdn.digitaloceanspaces.com/tpci/30C/30C_156_R_EN_SM.png","156/128"),"Sin imagen")</f>
        <v/>
      </c>
    </row>
    <row r="30" ht="105" customHeight="1">
      <c r="A30" s="14" t="inlineStr">
        <is>
          <t>157/128</t>
        </is>
      </c>
      <c r="B30" s="14" t="inlineStr">
        <is>
          <t>Mewtwo ex</t>
        </is>
      </c>
      <c r="C30" s="14" t="inlineStr">
        <is>
          <t>Psíquico</t>
        </is>
      </c>
      <c r="D30" s="14" t="inlineStr">
        <is>
          <t>Futuristic Rare</t>
        </is>
      </c>
      <c r="E30" s="14" t="inlineStr">
        <is>
          <t>YOSHIROTTEN</t>
        </is>
      </c>
      <c r="F30" s="16" t="n"/>
      <c r="G30" s="15" t="n"/>
      <c r="H30" s="18">
        <f>IFERROR(_xlfn.IMAGE("https://limitlesstcg.nyc3.cdn.digitaloceanspaces.com/tpci/30C/30C_157_R_EN_SM.png","157/128"),"Sin imagen")</f>
        <v/>
      </c>
    </row>
    <row r="31" ht="105" customHeight="1">
      <c r="A31" s="14" t="inlineStr">
        <is>
          <t>158/128</t>
        </is>
      </c>
      <c r="B31" s="14" t="inlineStr">
        <is>
          <t>Mew ex</t>
        </is>
      </c>
      <c r="C31" s="14" t="inlineStr">
        <is>
          <t>Psíquico</t>
        </is>
      </c>
      <c r="D31" s="14" t="inlineStr">
        <is>
          <t>Futuristic Rare</t>
        </is>
      </c>
      <c r="E31" s="14" t="inlineStr">
        <is>
          <t>YOSHIROTTEN</t>
        </is>
      </c>
      <c r="F31" s="16" t="n"/>
      <c r="G31" s="15" t="n"/>
      <c r="H31" s="18">
        <f>IFERROR(_xlfn.IMAGE("https://limitlesstcg.nyc3.cdn.digitaloceanspaces.com/tpci/30C/30C_158_R_EN_SM.png","158/128"),"Sin imagen")</f>
        <v/>
      </c>
    </row>
    <row r="32" ht="105" customHeight="1">
      <c r="A32" s="14" t="inlineStr">
        <is>
          <t>R/RGB</t>
        </is>
      </c>
      <c r="B32" s="14" t="inlineStr">
        <is>
          <t>Mew (Rojo)</t>
        </is>
      </c>
      <c r="C32" s="14" t="inlineStr">
        <is>
          <t>Psíquico</t>
        </is>
      </c>
      <c r="D32" s="14" t="inlineStr">
        <is>
          <t>Secret Rare (RGB)</t>
        </is>
      </c>
      <c r="E32" s="14" t="inlineStr">
        <is>
          <t>YOSHIROTTEN</t>
        </is>
      </c>
      <c r="F32" s="16" t="inlineStr">
        <is>
          <t>No figura en la lista oficial; descubierta en sobres</t>
        </is>
      </c>
      <c r="G32" s="15" t="n"/>
      <c r="H32" s="18">
        <f>IFERROR(_xlfn.IMAGE("https://limitlesstcg.nyc3.cdn.digitaloceanspaces.com/tpci/30C/30C_R_R_EN_SM.png","R/RGB"),"Sin imagen")</f>
        <v/>
      </c>
    </row>
    <row r="33" ht="105" customHeight="1">
      <c r="A33" s="14" t="inlineStr">
        <is>
          <t>G/RGB</t>
        </is>
      </c>
      <c r="B33" s="14" t="inlineStr">
        <is>
          <t>Mew (Verde)</t>
        </is>
      </c>
      <c r="C33" s="14" t="inlineStr">
        <is>
          <t>Psíquico</t>
        </is>
      </c>
      <c r="D33" s="14" t="inlineStr">
        <is>
          <t>Secret Rare (RGB)</t>
        </is>
      </c>
      <c r="E33" s="14" t="inlineStr">
        <is>
          <t>YOSHIROTTEN</t>
        </is>
      </c>
      <c r="F33" s="16" t="inlineStr">
        <is>
          <t>No figura en la lista oficial; descubierta en sobres</t>
        </is>
      </c>
      <c r="G33" s="15" t="n"/>
      <c r="H33" s="18">
        <f>IFERROR(_xlfn.IMAGE("https://limitlesstcg.nyc3.cdn.digitaloceanspaces.com/tpci/30C/30C_G_R_EN_SM.png","G/RGB"),"Sin imagen")</f>
        <v/>
      </c>
    </row>
    <row r="34" ht="105" customHeight="1">
      <c r="A34" s="14" t="inlineStr">
        <is>
          <t>B/RGB</t>
        </is>
      </c>
      <c r="B34" s="14" t="inlineStr">
        <is>
          <t>Mew (Azul)</t>
        </is>
      </c>
      <c r="C34" s="14" t="inlineStr">
        <is>
          <t>Psíquico</t>
        </is>
      </c>
      <c r="D34" s="14" t="inlineStr">
        <is>
          <t>Secret Rare (RGB)</t>
        </is>
      </c>
      <c r="E34" s="14" t="inlineStr">
        <is>
          <t>YOSHIROTTEN</t>
        </is>
      </c>
      <c r="F34" s="16" t="inlineStr">
        <is>
          <t>No figura en la lista oficial; descubierta en sobres</t>
        </is>
      </c>
      <c r="G34" s="15" t="n"/>
      <c r="H34" s="18">
        <f>IFERROR(_xlfn.IMAGE("https://limitlesstcg.nyc3.cdn.digitaloceanspaces.com/tpci/30C/30C_B_R_EN_SM.png","B/RGB"),"Sin imagen")</f>
        <v/>
      </c>
    </row>
  </sheetData>
  <autoFilter ref="A1:H34"/>
  <dataValidations count="1">
    <dataValidation sqref="G2:G34" showDropDown="0" showInputMessage="0" showErrorMessage="0" allowBlank="1" type="list">
      <formula1>"Sí,No"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10" defaultColWidth="8.7109375" defaultRowHeight="15"/>
  <cols>
    <col width="14" customWidth="1" min="1" max="1"/>
    <col width="44" customWidth="1" min="2" max="3"/>
    <col width="12" customWidth="1" min="4" max="4"/>
    <col width="17" customWidth="1" min="5" max="5"/>
  </cols>
  <sheetData>
    <row r="1" ht="25.5" customHeight="1">
      <c r="A1" s="13" t="inlineStr">
        <is>
          <t>N.º original</t>
        </is>
      </c>
      <c r="B1" s="13" t="inlineStr">
        <is>
          <t>Carta</t>
        </is>
      </c>
      <c r="C1" s="13" t="inlineStr">
        <is>
          <t>Notas</t>
        </is>
      </c>
      <c r="D1" s="13" t="inlineStr">
        <is>
          <t>¿La tengo?</t>
        </is>
      </c>
      <c r="E1" s="17" t="inlineStr">
        <is>
          <t>Imagen</t>
        </is>
      </c>
    </row>
    <row r="2" ht="105" customHeight="1">
      <c r="A2" s="14" t="inlineStr">
        <is>
          <t>58/102</t>
        </is>
      </c>
      <c r="B2" s="14" t="inlineStr">
        <is>
          <t>Pikachu</t>
        </is>
      </c>
      <c r="C2" s="16" t="n"/>
      <c r="D2" s="15" t="n"/>
      <c r="E2" s="18">
        <f>IFERROR(_xlfn.IMAGE("https://limitlesstcg.nyc3.cdn.digitaloceanspaces.com/tpci/30C/30C_CC1_R_EN_SM.png","Pikachu"),"Sin imagen")</f>
        <v/>
      </c>
    </row>
    <row r="3" ht="105" customHeight="1">
      <c r="A3" s="14" t="inlineStr">
        <is>
          <t>4/102</t>
        </is>
      </c>
      <c r="B3" s="14" t="inlineStr">
        <is>
          <t>Charizard</t>
        </is>
      </c>
      <c r="C3" s="16" t="inlineStr">
        <is>
          <t>Reimpresión del holo del Set Base</t>
        </is>
      </c>
      <c r="D3" s="15" t="n"/>
      <c r="E3" s="18">
        <f>IFERROR(_xlfn.IMAGE("https://limitlesstcg.nyc3.cdn.digitaloceanspaces.com/tpci/30C/30C_CC2_R_EN_SM.png","Charizard"),"Sin imagen")</f>
        <v/>
      </c>
    </row>
    <row r="4" ht="105" customHeight="1">
      <c r="A4" s="14" t="inlineStr">
        <is>
          <t>18/132</t>
        </is>
      </c>
      <c r="B4" s="14" t="inlineStr">
        <is>
          <t>Misty</t>
        </is>
      </c>
      <c r="C4" s="16" t="n"/>
      <c r="D4" s="15" t="n"/>
      <c r="E4" s="18">
        <f>IFERROR(_xlfn.IMAGE("https://limitlesstcg.nyc3.cdn.digitaloceanspaces.com/tpci/30C/30C_CC3_R_EN_SM.png","Misty"),"Sin imagen")</f>
        <v/>
      </c>
    </row>
    <row r="5" ht="105" customHeight="1">
      <c r="A5" s="14" t="inlineStr">
        <is>
          <t>69/132</t>
        </is>
      </c>
      <c r="B5" s="14" t="inlineStr">
        <is>
          <t>Erika's Jigglypuff</t>
        </is>
      </c>
      <c r="C5" s="16" t="n"/>
      <c r="D5" s="15" t="n"/>
      <c r="E5" s="18">
        <f>IFERROR(_xlfn.IMAGE("https://limitlesstcg.nyc3.cdn.digitaloceanspaces.com/tpci/30C/30C_CC4_R_EN_SM.png","Erika's Jigglypuff"),"Sin imagen")</f>
        <v/>
      </c>
    </row>
    <row r="6" ht="105" customHeight="1">
      <c r="A6" s="14" t="inlineStr">
        <is>
          <t>25/111</t>
        </is>
      </c>
      <c r="B6" s="14" t="inlineStr">
        <is>
          <t>Sneasel</t>
        </is>
      </c>
      <c r="C6" s="16" t="n"/>
      <c r="D6" s="15" t="n"/>
      <c r="E6" s="18">
        <f>IFERROR(_xlfn.IMAGE("https://limitlesstcg.nyc3.cdn.digitaloceanspaces.com/tpci/30C/30C_CC5_R_EN_SM.png","Sneasel"),"Sin imagen")</f>
        <v/>
      </c>
    </row>
    <row r="7" ht="105" customHeight="1">
      <c r="A7" s="14" t="inlineStr">
        <is>
          <t>106/105</t>
        </is>
      </c>
      <c r="B7" s="14" t="inlineStr">
        <is>
          <t>Shining Celebi</t>
        </is>
      </c>
      <c r="C7" s="16" t="n"/>
      <c r="D7" s="15" t="n"/>
      <c r="E7" s="18">
        <f>IFERROR(_xlfn.IMAGE("https://limitlesstcg.nyc3.cdn.digitaloceanspaces.com/tpci/30C/30C_CC6_R_EN_SM.png","Shining Celebi"),"Sin imagen")</f>
        <v/>
      </c>
    </row>
    <row r="8" ht="105" customHeight="1">
      <c r="A8" s="14" t="inlineStr">
        <is>
          <t>149/147</t>
        </is>
      </c>
      <c r="B8" s="14" t="inlineStr">
        <is>
          <t>Lugia</t>
        </is>
      </c>
      <c r="C8" s="16" t="inlineStr">
        <is>
          <t>Reimpresión del Crystal Lugia de Aquapolis</t>
        </is>
      </c>
      <c r="D8" s="15" t="n"/>
      <c r="E8" s="18">
        <f>IFERROR(_xlfn.IMAGE("https://limitlesstcg.nyc3.cdn.digitaloceanspaces.com/tpci/30C/30C_CC7_R_EN_SM.png","Lugia"),"Sin imagen")</f>
        <v/>
      </c>
    </row>
    <row r="9" ht="105" customHeight="1">
      <c r="A9" s="14" t="inlineStr">
        <is>
          <t>5/109</t>
        </is>
      </c>
      <c r="B9" s="14" t="inlineStr">
        <is>
          <t>Delcatty</t>
        </is>
      </c>
      <c r="C9" s="16" t="n"/>
      <c r="D9" s="15" t="n"/>
      <c r="E9" s="18">
        <f>IFERROR(_xlfn.IMAGE("https://limitlesstcg.nyc3.cdn.digitaloceanspaces.com/tpci/30C/30C_CC8_R_EN_SM.png","Delcatty"),"Sin imagen")</f>
        <v/>
      </c>
    </row>
    <row r="10" ht="105" customHeight="1">
      <c r="A10" s="14" t="inlineStr">
        <is>
          <t>19/109</t>
        </is>
      </c>
      <c r="B10" s="14" t="inlineStr">
        <is>
          <t>Dark Tyranitar</t>
        </is>
      </c>
      <c r="C10" s="16" t="n"/>
      <c r="D10" s="15" t="n"/>
      <c r="E10" s="18">
        <f>IFERROR(_xlfn.IMAGE("https://limitlesstcg.nyc3.cdn.digitaloceanspaces.com/tpci/30C/30C_CC9_R_EN_SM.png","Dark Tyranitar"),"Sin imagen")</f>
        <v/>
      </c>
    </row>
    <row r="11" ht="105" customHeight="1">
      <c r="A11" s="14" t="inlineStr">
        <is>
          <t>108/115</t>
        </is>
      </c>
      <c r="B11" s="14" t="inlineStr">
        <is>
          <t>Scizor ex</t>
        </is>
      </c>
      <c r="C11" s="16" t="n"/>
      <c r="D11" s="15" t="n"/>
      <c r="E11" s="18">
        <f>IFERROR(_xlfn.IMAGE("https://limitlesstcg.nyc3.cdn.digitaloceanspaces.com/tpci/30C/30C_CC10_R_EN_SM.png","Scizor ex"),"Sin imagen")</f>
        <v/>
      </c>
    </row>
    <row r="12" ht="105" customHeight="1">
      <c r="A12" s="14" t="inlineStr">
        <is>
          <t>11/113</t>
        </is>
      </c>
      <c r="B12" s="14" t="inlineStr">
        <is>
          <t>Metagross δ</t>
        </is>
      </c>
      <c r="C12" s="16" t="n"/>
      <c r="D12" s="15" t="n"/>
      <c r="E12" s="18">
        <f>IFERROR(_xlfn.IMAGE("https://limitlesstcg.nyc3.cdn.digitaloceanspaces.com/tpci/30C/30C_CC11_R_EN_SM.png","Metagross δ"),"Sin imagen")</f>
        <v/>
      </c>
    </row>
    <row r="13" ht="105" customHeight="1">
      <c r="A13" s="14" t="inlineStr">
        <is>
          <t>106/106</t>
        </is>
      </c>
      <c r="B13" s="14" t="inlineStr">
        <is>
          <t>Palkia LV.X</t>
        </is>
      </c>
      <c r="C13" s="16" t="n"/>
      <c r="D13" s="15" t="n"/>
      <c r="E13" s="18">
        <f>IFERROR(_xlfn.IMAGE("https://limitlesstcg.nyc3.cdn.digitaloceanspaces.com/tpci/30C/30C_CC12_R_EN_SM.png","Palkia LV.X"),"Sin imagen")</f>
        <v/>
      </c>
    </row>
    <row r="14" ht="105" customHeight="1">
      <c r="A14" s="14" t="inlineStr">
        <is>
          <t>43/146</t>
        </is>
      </c>
      <c r="B14" s="14" t="inlineStr">
        <is>
          <t>Uxie</t>
        </is>
      </c>
      <c r="C14" s="16" t="n"/>
      <c r="D14" s="15" t="n"/>
      <c r="E14" s="18">
        <f>IFERROR(_xlfn.IMAGE("https://limitlesstcg.nyc3.cdn.digitaloceanspaces.com/tpci/30C/30C_CC13_R_EN_SM.png","Uxie"),"Sin imagen")</f>
        <v/>
      </c>
    </row>
    <row r="15" ht="105" customHeight="1">
      <c r="A15" s="14" t="inlineStr">
        <is>
          <t>47/127</t>
        </is>
      </c>
      <c r="B15" s="14" t="inlineStr">
        <is>
          <t>Crobat G</t>
        </is>
      </c>
      <c r="C15" s="16" t="n"/>
      <c r="D15" s="15" t="n"/>
      <c r="E15" s="18">
        <f>IFERROR(_xlfn.IMAGE("https://limitlesstcg.nyc3.cdn.digitaloceanspaces.com/tpci/30C/30C_CC14_R_EN_SM.png","Crobat G"),"Sin imagen")</f>
        <v/>
      </c>
    </row>
    <row r="16" ht="105" customHeight="1">
      <c r="A16" s="14" t="inlineStr">
        <is>
          <t>94/102</t>
        </is>
      </c>
      <c r="B16" s="14" t="inlineStr">
        <is>
          <t>Gengar Prime</t>
        </is>
      </c>
      <c r="C16" s="16" t="n"/>
      <c r="D16" s="15" t="n"/>
      <c r="E16" s="18">
        <f>IFERROR(_xlfn.IMAGE("https://limitlesstcg.nyc3.cdn.digitaloceanspaces.com/tpci/30C/30C_CC15_R_EN_SM.png","Gengar Prime"),"Sin imagen")</f>
        <v/>
      </c>
    </row>
    <row r="17" ht="105" customHeight="1">
      <c r="A17" s="14" t="inlineStr">
        <is>
          <t>99/102</t>
        </is>
      </c>
      <c r="B17" s="14" t="inlineStr">
        <is>
          <t>Darkrai &amp; Cresselia LEGEND – Parte superior</t>
        </is>
      </c>
      <c r="C17" s="16" t="inlineStr">
        <is>
          <t>Carta de 2 partes</t>
        </is>
      </c>
      <c r="D17" s="15" t="n"/>
      <c r="E17" s="18">
        <f>IFERROR(_xlfn.IMAGE("https://limitlesstcg.nyc3.cdn.digitaloceanspaces.com/tpci/30C/30C_CC16_R_EN_SM.png","Darkrai &amp; Cresselia LEGEND – Parte superior"),"Sin imagen")</f>
        <v/>
      </c>
    </row>
    <row r="18" ht="105" customHeight="1">
      <c r="A18" s="14" t="inlineStr">
        <is>
          <t>100/102</t>
        </is>
      </c>
      <c r="B18" s="14" t="inlineStr">
        <is>
          <t>Darkrai &amp; Cresselia LEGEND – Parte inferior</t>
        </is>
      </c>
      <c r="C18" s="16" t="inlineStr">
        <is>
          <t>Carta de 2 partes</t>
        </is>
      </c>
      <c r="D18" s="15" t="n"/>
      <c r="E18" s="18">
        <f>IFERROR(_xlfn.IMAGE("https://limitlesstcg.nyc3.cdn.digitaloceanspaces.com/tpci/30C/30C_CC17_R_EN_SM.png","Darkrai &amp; Cresselia LEGEND – Parte inferior"),"Sin imagen")</f>
        <v/>
      </c>
    </row>
    <row r="19" ht="105" customHeight="1">
      <c r="A19" s="14" t="inlineStr">
        <is>
          <t>101/101</t>
        </is>
      </c>
      <c r="B19" s="14" t="inlineStr">
        <is>
          <t>N</t>
        </is>
      </c>
      <c r="C19" s="16" t="n"/>
      <c r="D19" s="15" t="n"/>
      <c r="E19" s="18">
        <f>IFERROR(_xlfn.IMAGE("https://limitlesstcg.nyc3.cdn.digitaloceanspaces.com/tpci/30C/30C_CC18_R_EN_SM.png","N"),"Sin imagen")</f>
        <v/>
      </c>
    </row>
    <row r="20" ht="105" customHeight="1">
      <c r="A20" s="14" t="inlineStr">
        <is>
          <t>85/124</t>
        </is>
      </c>
      <c r="B20" s="14" t="inlineStr">
        <is>
          <t>Rayquaza EX</t>
        </is>
      </c>
      <c r="C20" s="16" t="n"/>
      <c r="D20" s="15" t="n"/>
      <c r="E20" s="18">
        <f>IFERROR(_xlfn.IMAGE("https://limitlesstcg.nyc3.cdn.digitaloceanspaces.com/tpci/30C/30C_CC19_R_EN_SM.png","Rayquaza EX"),"Sin imagen")</f>
        <v/>
      </c>
    </row>
    <row r="21" ht="105" customHeight="1">
      <c r="A21" s="14" t="inlineStr">
        <is>
          <t>11/101</t>
        </is>
      </c>
      <c r="B21" s="14" t="inlineStr">
        <is>
          <t>Genesect EX</t>
        </is>
      </c>
      <c r="C21" s="16" t="n"/>
      <c r="D21" s="15" t="n"/>
      <c r="E21" s="18">
        <f>IFERROR(_xlfn.IMAGE("https://limitlesstcg.nyc3.cdn.digitaloceanspaces.com/tpci/30C/30C_CC20_R_EN_SM.png","Genesect EX"),"Sin imagen")</f>
        <v/>
      </c>
    </row>
    <row r="22" ht="105" customHeight="1">
      <c r="A22" s="14" t="inlineStr">
        <is>
          <t>106/160</t>
        </is>
      </c>
      <c r="B22" s="14" t="inlineStr">
        <is>
          <t>M Gardevoir EX</t>
        </is>
      </c>
      <c r="C22" s="16" t="n"/>
      <c r="D22" s="15" t="n"/>
      <c r="E22" s="18">
        <f>IFERROR(_xlfn.IMAGE("https://limitlesstcg.nyc3.cdn.digitaloceanspaces.com/tpci/30C/30C_CC21_R_EN_SM.png","M Gardevoir EX"),"Sin imagen")</f>
        <v/>
      </c>
    </row>
    <row r="23" ht="105" customHeight="1">
      <c r="A23" s="14" t="inlineStr">
        <is>
          <t>41/122</t>
        </is>
      </c>
      <c r="B23" s="14" t="inlineStr">
        <is>
          <t>Greninja BREAK</t>
        </is>
      </c>
      <c r="C23" s="16" t="n"/>
      <c r="D23" s="15" t="n"/>
      <c r="E23" s="18">
        <f>IFERROR(_xlfn.IMAGE("https://limitlesstcg.nyc3.cdn.digitaloceanspaces.com/tpci/30C/30C_CC22_R_EN_SM.png","Greninja BREAK"),"Sin imagen")</f>
        <v/>
      </c>
    </row>
    <row r="24" ht="105" customHeight="1">
      <c r="A24" s="14" t="inlineStr">
        <is>
          <t>89/149</t>
        </is>
      </c>
      <c r="B24" s="14" t="inlineStr">
        <is>
          <t>Solgaleo GX</t>
        </is>
      </c>
      <c r="C24" s="16" t="n"/>
      <c r="D24" s="15" t="n"/>
      <c r="E24" s="18">
        <f>IFERROR(_xlfn.IMAGE("https://limitlesstcg.nyc3.cdn.digitaloceanspaces.com/tpci/30C/30C_CC23_R_EN_SM.png","Solgaleo GX"),"Sin imagen")</f>
        <v/>
      </c>
    </row>
    <row r="25" ht="105" customHeight="1">
      <c r="A25" s="14" t="inlineStr">
        <is>
          <t>57/111</t>
        </is>
      </c>
      <c r="B25" s="14" t="inlineStr">
        <is>
          <t>Pheromosa GX</t>
        </is>
      </c>
      <c r="C25" s="16" t="n"/>
      <c r="D25" s="15" t="n"/>
      <c r="E25" s="18">
        <f>IFERROR(_xlfn.IMAGE("https://limitlesstcg.nyc3.cdn.digitaloceanspaces.com/tpci/30C/30C_CC24_R_EN_SM.png","Pheromosa GX"),"Sin imagen")</f>
        <v/>
      </c>
    </row>
    <row r="26" ht="105" customHeight="1">
      <c r="A26" s="14" t="inlineStr">
        <is>
          <t>33/181</t>
        </is>
      </c>
      <c r="B26" s="14" t="inlineStr">
        <is>
          <t>Pikachu &amp; Zekrom GX</t>
        </is>
      </c>
      <c r="C26" s="16" t="n"/>
      <c r="D26" s="15" t="n"/>
      <c r="E26" s="18">
        <f>IFERROR(_xlfn.IMAGE("https://limitlesstcg.nyc3.cdn.digitaloceanspaces.com/tpci/30C/30C_CC25_R_EN_SM.png","Pikachu &amp; Zekrom GX"),"Sin imagen")</f>
        <v/>
      </c>
    </row>
    <row r="27" ht="105" customHeight="1">
      <c r="A27" s="14" t="inlineStr">
        <is>
          <t>138/202</t>
        </is>
      </c>
      <c r="B27" s="14" t="inlineStr">
        <is>
          <t>Zacian V</t>
        </is>
      </c>
      <c r="C27" s="16" t="n"/>
      <c r="D27" s="15" t="n"/>
      <c r="E27" s="18">
        <f>IFERROR(_xlfn.IMAGE("https://limitlesstcg.nyc3.cdn.digitaloceanspaces.com/tpci/30C/30C_CC26_R_EN_SM.png","Zacian V"),"Sin imagen")</f>
        <v/>
      </c>
    </row>
    <row r="28" ht="105" customHeight="1">
      <c r="A28" s="14" t="inlineStr">
        <is>
          <t>50/185</t>
        </is>
      </c>
      <c r="B28" s="14" t="inlineStr">
        <is>
          <t>Raikou</t>
        </is>
      </c>
      <c r="C28" s="16" t="n"/>
      <c r="D28" s="15" t="n"/>
      <c r="E28" s="18">
        <f>IFERROR(_xlfn.IMAGE("https://limitlesstcg.nyc3.cdn.digitaloceanspaces.com/tpci/30C/30C_CC27_R_EN_SM.png","Raikou"),"Sin imagen")</f>
        <v/>
      </c>
    </row>
    <row r="29" ht="105" customHeight="1">
      <c r="A29" s="14" t="inlineStr">
        <is>
          <t>114/264</t>
        </is>
      </c>
      <c r="B29" s="14" t="inlineStr">
        <is>
          <t>Mew VMAX</t>
        </is>
      </c>
      <c r="C29" s="16" t="n"/>
      <c r="D29" s="15" t="n"/>
      <c r="E29" s="18">
        <f>IFERROR(_xlfn.IMAGE("https://limitlesstcg.nyc3.cdn.digitaloceanspaces.com/tpci/30C/30C_CC28_R_EN_SM.png","Mew VMAX"),"Sin imagen")</f>
        <v/>
      </c>
    </row>
    <row r="30" ht="105" customHeight="1">
      <c r="A30" s="14" t="inlineStr">
        <is>
          <t>123/172</t>
        </is>
      </c>
      <c r="B30" s="14" t="inlineStr">
        <is>
          <t>Arceus VSTAR</t>
        </is>
      </c>
      <c r="C30" s="16" t="n"/>
      <c r="D30" s="15" t="n"/>
      <c r="E30" s="18">
        <f>IFERROR(_xlfn.IMAGE("https://limitlesstcg.nyc3.cdn.digitaloceanspaces.com/tpci/30C/30C_CC29_R_EN_SM.png","Arceus VSTAR"),"Sin imagen")</f>
        <v/>
      </c>
    </row>
    <row r="31" ht="105" customHeight="1">
      <c r="A31" s="14" t="inlineStr">
        <is>
          <t>203/193</t>
        </is>
      </c>
      <c r="B31" s="14" t="inlineStr">
        <is>
          <t>Magikarp</t>
        </is>
      </c>
      <c r="C31" s="16" t="n"/>
      <c r="D31" s="15" t="n"/>
      <c r="E31" s="18">
        <f>IFERROR(_xlfn.IMAGE("https://limitlesstcg.nyc3.cdn.digitaloceanspaces.com/tpci/30C/30C_CC30_R_EN_SM.png","Magikarp"),"Sin imagen")</f>
        <v/>
      </c>
    </row>
  </sheetData>
  <autoFilter ref="A1:E31"/>
  <dataValidations count="1">
    <dataValidation sqref="D2:D31" showDropDown="0" showInputMessage="0" showErrorMessage="0" allowBlank="1" type="list">
      <formula1>"Sí,No"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10" defaultColWidth="8.7109375" defaultRowHeight="15"/>
  <cols>
    <col width="34" customWidth="1" min="1" max="1"/>
    <col width="12" customWidth="1" min="2" max="2"/>
  </cols>
  <sheetData>
    <row r="1" ht="25.5" customHeight="1">
      <c r="A1" s="13" t="inlineStr">
        <is>
          <t>Carta</t>
        </is>
      </c>
      <c r="B1" s="13" t="inlineStr">
        <is>
          <t>¿La tengo?</t>
        </is>
      </c>
    </row>
    <row r="2">
      <c r="A2" s="14" t="inlineStr">
        <is>
          <t>Energía Básica de Planta</t>
        </is>
      </c>
      <c r="B2" s="15" t="n"/>
    </row>
    <row r="3">
      <c r="A3" s="14" t="inlineStr">
        <is>
          <t>Energía Básica de Fuego</t>
        </is>
      </c>
      <c r="B3" s="15" t="n"/>
    </row>
    <row r="4">
      <c r="A4" s="14" t="inlineStr">
        <is>
          <t>Energía Básica de Agua</t>
        </is>
      </c>
      <c r="B4" s="15" t="n"/>
    </row>
    <row r="5">
      <c r="A5" s="14" t="inlineStr">
        <is>
          <t>Energía Básica de Rayo</t>
        </is>
      </c>
      <c r="B5" s="15" t="n"/>
    </row>
    <row r="6">
      <c r="A6" s="14" t="inlineStr">
        <is>
          <t>Energía Básica Psíquica</t>
        </is>
      </c>
      <c r="B6" s="15" t="n"/>
    </row>
    <row r="7">
      <c r="A7" s="14" t="inlineStr">
        <is>
          <t>Energía Básica de Lucha</t>
        </is>
      </c>
      <c r="B7" s="15" t="n"/>
    </row>
    <row r="8">
      <c r="A8" s="14" t="inlineStr">
        <is>
          <t>Energía Básica de Oscuridad</t>
        </is>
      </c>
      <c r="B8" s="15" t="n"/>
    </row>
    <row r="9">
      <c r="A9" s="14" t="inlineStr">
        <is>
          <t>Energía Básica de Metal</t>
        </is>
      </c>
      <c r="B9" s="15" t="n"/>
    </row>
  </sheetData>
  <autoFilter ref="A1:B9"/>
  <dataValidations count="1">
    <dataValidation sqref="B2:B9" showDropDown="0" showInputMessage="0" showErrorMessage="0" allowBlank="1" type="list">
      <formula1>"Sí,No"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2026-09-29T16:01:58Z</dcterms:created>
  <dcterms:modified xmlns:dcterms="http://purl.org/dc/terms/" xmlns:xsi="http://www.w3.org/2001/XMLSchema-instance" xsi:type="dcterms:W3CDTF">2026-09-30T17:30:55Z</dcterms:modified>
  <cp:lastModifiedBy>Erick Patricio Fernandez Avalos</cp:lastModifiedBy>
  <cp:revision>0</cp:revision>
</cp:coreProperties>
</file>